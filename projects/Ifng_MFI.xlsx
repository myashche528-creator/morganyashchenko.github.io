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/Desktop/RStudio projects/morganyashchenko.github.io/projects/"/>
    </mc:Choice>
  </mc:AlternateContent>
  <xr:revisionPtr revIDLastSave="0" documentId="13_ncr:1_{DEF75E75-1A95-2542-A9DF-19A2303FEDBF}" xr6:coauthVersionLast="47" xr6:coauthVersionMax="47" xr10:uidLastSave="{00000000-0000-0000-0000-000000000000}"/>
  <bookViews>
    <workbookView xWindow="0" yWindow="760" windowWidth="29040" windowHeight="15720" xr2:uid="{5F7D8657-9EDB-4F90-B5BD-53FB938E4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44" i="1" l="1"/>
  <c r="BH43" i="1"/>
  <c r="BH42" i="1"/>
  <c r="BH41" i="1"/>
  <c r="BH40" i="1"/>
  <c r="BH39" i="1"/>
  <c r="BH38" i="1"/>
  <c r="BH37" i="1"/>
  <c r="BH36" i="1"/>
  <c r="BH35" i="1"/>
  <c r="BH34" i="1"/>
  <c r="BG34" i="1"/>
  <c r="BF34" i="1"/>
  <c r="BE34" i="1"/>
  <c r="BD34" i="1"/>
  <c r="BC34" i="1"/>
  <c r="BB34" i="1"/>
  <c r="BA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H2" i="1"/>
</calcChain>
</file>

<file path=xl/sharedStrings.xml><?xml version="1.0" encoding="utf-8"?>
<sst xmlns="http://schemas.openxmlformats.org/spreadsheetml/2006/main" count="739" uniqueCount="119">
  <si>
    <t>Cohort number</t>
  </si>
  <si>
    <t>Mouse ID</t>
  </si>
  <si>
    <t>Sex</t>
  </si>
  <si>
    <t>Age in weeks</t>
  </si>
  <si>
    <t>Genotype</t>
  </si>
  <si>
    <t>Cyst status</t>
  </si>
  <si>
    <t>Ifng gene</t>
  </si>
  <si>
    <t>Treatment</t>
  </si>
  <si>
    <t>A0347</t>
  </si>
  <si>
    <t>F</t>
  </si>
  <si>
    <t>Cre(+) Pkd2(f/f) Ifng(-/-)</t>
  </si>
  <si>
    <t>cystic</t>
  </si>
  <si>
    <t>KO</t>
  </si>
  <si>
    <t>Veh</t>
  </si>
  <si>
    <t>A0346</t>
  </si>
  <si>
    <t>Cre(+) Pkd2(f/f) Ifng(+/-)</t>
  </si>
  <si>
    <t>Het</t>
  </si>
  <si>
    <t>A0228</t>
  </si>
  <si>
    <t>M</t>
  </si>
  <si>
    <t>Cre(-) Pkd2(f/f) Ifng(-/-)</t>
  </si>
  <si>
    <t>non cystic</t>
  </si>
  <si>
    <t>A0227</t>
  </si>
  <si>
    <t>A0348</t>
  </si>
  <si>
    <t>FA</t>
  </si>
  <si>
    <t>A0226</t>
  </si>
  <si>
    <t>Cre(+) Pkd2(f/f) Ifng(WT)</t>
  </si>
  <si>
    <t>WT</t>
  </si>
  <si>
    <t>A0349</t>
  </si>
  <si>
    <t>A0225</t>
  </si>
  <si>
    <t>A0172</t>
  </si>
  <si>
    <t>A0695</t>
  </si>
  <si>
    <t>A0696</t>
  </si>
  <si>
    <t>A0666</t>
  </si>
  <si>
    <t>A0858</t>
  </si>
  <si>
    <t>A0857</t>
  </si>
  <si>
    <t>A0856</t>
  </si>
  <si>
    <t>Cre(-) Pkd2(f/f) Ifng(+/-)</t>
  </si>
  <si>
    <t>A0823</t>
  </si>
  <si>
    <t>Cre(-) Pkd2(f/f) Ifng(WT)</t>
  </si>
  <si>
    <t>A0822</t>
  </si>
  <si>
    <t>A0820</t>
  </si>
  <si>
    <t>A0821</t>
  </si>
  <si>
    <t>A0854</t>
  </si>
  <si>
    <t>A0855</t>
  </si>
  <si>
    <t>A0853</t>
  </si>
  <si>
    <t>A0827</t>
  </si>
  <si>
    <t>A0824</t>
  </si>
  <si>
    <t>A0828</t>
  </si>
  <si>
    <t>A0825</t>
  </si>
  <si>
    <t>A1154</t>
  </si>
  <si>
    <t>A1153</t>
  </si>
  <si>
    <t>A1177</t>
  </si>
  <si>
    <t>A1179</t>
  </si>
  <si>
    <t>A1192</t>
  </si>
  <si>
    <t>A1191</t>
  </si>
  <si>
    <t>A1193</t>
  </si>
  <si>
    <t>A1127</t>
  </si>
  <si>
    <t>A1126</t>
  </si>
  <si>
    <t>A2596</t>
  </si>
  <si>
    <t>A2599</t>
  </si>
  <si>
    <t>A2597</t>
  </si>
  <si>
    <t>A2595</t>
  </si>
  <si>
    <t>A2594</t>
  </si>
  <si>
    <t>A2590</t>
  </si>
  <si>
    <t>A2598</t>
  </si>
  <si>
    <t>A2592</t>
  </si>
  <si>
    <t>Ifng MFI</t>
  </si>
  <si>
    <t>NA</t>
  </si>
  <si>
    <t>KRM percent live</t>
  </si>
  <si>
    <t>cDC2 percent live</t>
  </si>
  <si>
    <t>Ly6chi mono percent live</t>
  </si>
  <si>
    <t>CD4 T cells percent live</t>
  </si>
  <si>
    <t>Tregs percent live</t>
  </si>
  <si>
    <t>Th1 percent live</t>
  </si>
  <si>
    <t>Th17 percent live</t>
  </si>
  <si>
    <t>CD8 T cells percent live</t>
  </si>
  <si>
    <t>DN T cells percent live</t>
  </si>
  <si>
    <t>Neutrophils percent live immune</t>
  </si>
  <si>
    <t>KRM percent live immune</t>
  </si>
  <si>
    <t>cDC2 percent live immune</t>
  </si>
  <si>
    <t>Ly6chi mono percent live immune</t>
  </si>
  <si>
    <t>Ly6clo mono percent live immune</t>
  </si>
  <si>
    <t>CD4 T cells percent live immune</t>
  </si>
  <si>
    <t>Tregs percent live immune</t>
  </si>
  <si>
    <t>Th1 percent live immune</t>
  </si>
  <si>
    <t>Th17 percent live immune</t>
  </si>
  <si>
    <t>CD8 T cells percent live immune</t>
  </si>
  <si>
    <t>DN T cells percent live immune</t>
  </si>
  <si>
    <t>NKT cells percent live immune</t>
  </si>
  <si>
    <t>Cyst count</t>
  </si>
  <si>
    <t>Cystic index</t>
  </si>
  <si>
    <t>Cyst size</t>
  </si>
  <si>
    <t>2KWBW</t>
  </si>
  <si>
    <t>Neutrophil percent live</t>
  </si>
  <si>
    <t>Ly6clo mono percent live</t>
  </si>
  <si>
    <t>NKT cell percent live</t>
  </si>
  <si>
    <t>Neutrophil count</t>
  </si>
  <si>
    <t>KRM count</t>
  </si>
  <si>
    <t>cDC2 count</t>
  </si>
  <si>
    <t>Ly6chi mono count</t>
  </si>
  <si>
    <t>Ly6clo mono count</t>
  </si>
  <si>
    <t>CD4 T cell count</t>
  </si>
  <si>
    <t>Tregs count</t>
  </si>
  <si>
    <t>Th1 count</t>
  </si>
  <si>
    <t>Th17 count</t>
  </si>
  <si>
    <t>CD8 T cells count</t>
  </si>
  <si>
    <t>DN T cells count</t>
  </si>
  <si>
    <t>NKT cells count</t>
  </si>
  <si>
    <t>BUN Dneg1</t>
  </si>
  <si>
    <t>BUN D3</t>
  </si>
  <si>
    <t>BUN D5</t>
  </si>
  <si>
    <t>BUN D7</t>
  </si>
  <si>
    <t>BUN D14</t>
  </si>
  <si>
    <t>BUN D21</t>
  </si>
  <si>
    <t>BUN D56</t>
  </si>
  <si>
    <t>Dneg1vD3 Delta BUN</t>
  </si>
  <si>
    <t>Ifng+ T cells count</t>
  </si>
  <si>
    <t>Ifng+ T cells percent live immune</t>
  </si>
  <si>
    <t>Ifng+ T cells percent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</si>
</sst>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DD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1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/>
    <xf numFmtId="0" fontId="1" fillId="7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6F151-615D-4CCE-BC02-63D4CEEBAC6D}">
  <dimension ref="A1:BH80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5" max="6" width="22.83203125" customWidth="1"/>
    <col min="7" max="7" width="15" customWidth="1"/>
    <col min="8" max="8" width="12" customWidth="1"/>
    <col min="10" max="12" width="13" customWidth="1"/>
    <col min="13" max="13" width="16" customWidth="1"/>
    <col min="60" max="60" width="21.6640625" customWidth="1"/>
  </cols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</v>
      </c>
      <c r="J1" s="1" t="s">
        <v>116</v>
      </c>
      <c r="K1" s="1" t="s">
        <v>118</v>
      </c>
      <c r="L1" s="1" t="s">
        <v>117</v>
      </c>
      <c r="M1" s="4" t="s">
        <v>92</v>
      </c>
      <c r="N1" s="5" t="s">
        <v>93</v>
      </c>
      <c r="O1" s="5" t="s">
        <v>68</v>
      </c>
      <c r="P1" s="5" t="s">
        <v>69</v>
      </c>
      <c r="Q1" s="5" t="s">
        <v>70</v>
      </c>
      <c r="R1" s="5" t="s">
        <v>94</v>
      </c>
      <c r="S1" s="6" t="s">
        <v>71</v>
      </c>
      <c r="T1" s="6" t="s">
        <v>72</v>
      </c>
      <c r="U1" s="6" t="s">
        <v>73</v>
      </c>
      <c r="V1" s="6" t="s">
        <v>74</v>
      </c>
      <c r="W1" s="6" t="s">
        <v>75</v>
      </c>
      <c r="X1" s="6" t="s">
        <v>76</v>
      </c>
      <c r="Y1" s="6" t="s">
        <v>95</v>
      </c>
      <c r="Z1" s="5" t="s">
        <v>77</v>
      </c>
      <c r="AA1" s="5" t="s">
        <v>78</v>
      </c>
      <c r="AB1" s="5" t="s">
        <v>79</v>
      </c>
      <c r="AC1" s="5" t="s">
        <v>80</v>
      </c>
      <c r="AD1" s="5" t="s">
        <v>81</v>
      </c>
      <c r="AE1" s="6" t="s">
        <v>82</v>
      </c>
      <c r="AF1" s="6" t="s">
        <v>83</v>
      </c>
      <c r="AG1" s="6" t="s">
        <v>84</v>
      </c>
      <c r="AH1" s="6" t="s">
        <v>85</v>
      </c>
      <c r="AI1" s="6" t="s">
        <v>86</v>
      </c>
      <c r="AJ1" s="6" t="s">
        <v>87</v>
      </c>
      <c r="AK1" s="6" t="s">
        <v>88</v>
      </c>
      <c r="AL1" s="7" t="s">
        <v>96</v>
      </c>
      <c r="AM1" s="7" t="s">
        <v>97</v>
      </c>
      <c r="AN1" s="7" t="s">
        <v>98</v>
      </c>
      <c r="AO1" s="7" t="s">
        <v>99</v>
      </c>
      <c r="AP1" s="7" t="s">
        <v>100</v>
      </c>
      <c r="AQ1" s="7" t="s">
        <v>101</v>
      </c>
      <c r="AR1" s="7" t="s">
        <v>102</v>
      </c>
      <c r="AS1" s="7" t="s">
        <v>103</v>
      </c>
      <c r="AT1" s="7" t="s">
        <v>104</v>
      </c>
      <c r="AU1" s="7" t="s">
        <v>105</v>
      </c>
      <c r="AV1" s="7" t="s">
        <v>106</v>
      </c>
      <c r="AW1" s="7" t="s">
        <v>107</v>
      </c>
      <c r="AX1" s="8" t="s">
        <v>89</v>
      </c>
      <c r="AY1" s="8" t="s">
        <v>90</v>
      </c>
      <c r="AZ1" s="8" t="s">
        <v>91</v>
      </c>
      <c r="BA1" s="9" t="s">
        <v>108</v>
      </c>
      <c r="BB1" s="9" t="s">
        <v>109</v>
      </c>
      <c r="BC1" s="9" t="s">
        <v>110</v>
      </c>
      <c r="BD1" s="9" t="s">
        <v>111</v>
      </c>
      <c r="BE1" s="9" t="s">
        <v>112</v>
      </c>
      <c r="BF1" s="9" t="s">
        <v>113</v>
      </c>
      <c r="BG1" s="9" t="s">
        <v>114</v>
      </c>
      <c r="BH1" s="9" t="s">
        <v>115</v>
      </c>
    </row>
    <row r="2" spans="1:60" x14ac:dyDescent="0.2">
      <c r="A2">
        <v>1</v>
      </c>
      <c r="B2" t="s">
        <v>8</v>
      </c>
      <c r="C2" t="s">
        <v>9</v>
      </c>
      <c r="D2" s="2">
        <v>17.285714285714285</v>
      </c>
      <c r="E2" t="s">
        <v>10</v>
      </c>
      <c r="F2" t="s">
        <v>11</v>
      </c>
      <c r="G2" t="s">
        <v>12</v>
      </c>
      <c r="H2" t="s">
        <v>13</v>
      </c>
      <c r="I2">
        <v>-141</v>
      </c>
      <c r="J2">
        <v>56</v>
      </c>
      <c r="K2" s="3">
        <v>2.2499999999999998E-3</v>
      </c>
      <c r="L2" s="3">
        <v>0.95</v>
      </c>
      <c r="M2" s="10">
        <v>1.102409638554217</v>
      </c>
      <c r="N2">
        <v>1.4999999999999999E-2</v>
      </c>
      <c r="O2">
        <v>0.26</v>
      </c>
      <c r="P2">
        <v>0.01</v>
      </c>
      <c r="Q2" s="3">
        <v>3.0899999999999999E-3</v>
      </c>
      <c r="R2" s="3">
        <v>8.0999999999999996E-3</v>
      </c>
      <c r="S2">
        <v>1.2999999999999999E-2</v>
      </c>
      <c r="T2" s="3">
        <v>3.2499999999999999E-3</v>
      </c>
      <c r="U2" s="3">
        <v>4.3299999999999996E-3</v>
      </c>
      <c r="V2">
        <v>1.2999999999999999E-2</v>
      </c>
      <c r="W2" s="3">
        <v>7.4999999999999997E-3</v>
      </c>
      <c r="X2" s="3">
        <v>4.81E-3</v>
      </c>
      <c r="Y2" s="3">
        <v>1.81E-3</v>
      </c>
      <c r="Z2">
        <v>2.02</v>
      </c>
      <c r="AA2">
        <v>34.299999999999997</v>
      </c>
      <c r="AB2">
        <v>1.39</v>
      </c>
      <c r="AC2">
        <v>0.41</v>
      </c>
      <c r="AD2">
        <v>1.08</v>
      </c>
      <c r="AE2">
        <v>5.67</v>
      </c>
      <c r="AF2">
        <v>1.37</v>
      </c>
      <c r="AG2">
        <v>1.82</v>
      </c>
      <c r="AH2">
        <v>5.5</v>
      </c>
      <c r="AI2">
        <v>3.16</v>
      </c>
      <c r="AJ2">
        <v>2.0299999999999998</v>
      </c>
      <c r="AK2">
        <v>0.76</v>
      </c>
      <c r="AL2">
        <v>20233.10820438289</v>
      </c>
      <c r="AM2">
        <v>344105.32615200483</v>
      </c>
      <c r="AN2">
        <v>13963.694394574108</v>
      </c>
      <c r="AO2">
        <v>4132.1136473739707</v>
      </c>
      <c r="AP2">
        <v>10828.987489669717</v>
      </c>
      <c r="AQ2">
        <v>15367.376340643508</v>
      </c>
      <c r="AR2">
        <v>3704.6353678337032</v>
      </c>
      <c r="AS2">
        <v>4939.5138237782703</v>
      </c>
      <c r="AT2">
        <v>14910.013949552927</v>
      </c>
      <c r="AU2">
        <v>8552.6767133938574</v>
      </c>
      <c r="AV2">
        <v>5488.3486930869676</v>
      </c>
      <c r="AW2">
        <v>2058.1307599076126</v>
      </c>
      <c r="AX2" t="s">
        <v>67</v>
      </c>
      <c r="AY2" t="s">
        <v>67</v>
      </c>
      <c r="AZ2" t="s">
        <v>67</v>
      </c>
      <c r="BA2">
        <v>30.800142764610239</v>
      </c>
      <c r="BB2">
        <v>30.899284855054265</v>
      </c>
      <c r="BC2">
        <v>24.884664701450113</v>
      </c>
      <c r="BD2">
        <v>26.437890785073165</v>
      </c>
      <c r="BE2">
        <v>24.157622704860607</v>
      </c>
      <c r="BF2">
        <v>21.745165170722679</v>
      </c>
      <c r="BG2">
        <v>25.92888078413495</v>
      </c>
      <c r="BH2">
        <f>BB2-BA2</f>
        <v>9.914209044402611E-2</v>
      </c>
    </row>
    <row r="3" spans="1:60" x14ac:dyDescent="0.2">
      <c r="A3">
        <v>1</v>
      </c>
      <c r="B3" t="s">
        <v>14</v>
      </c>
      <c r="C3" t="s">
        <v>9</v>
      </c>
      <c r="D3" s="2">
        <v>17.285714285714285</v>
      </c>
      <c r="E3" t="s">
        <v>15</v>
      </c>
      <c r="F3" t="s">
        <v>11</v>
      </c>
      <c r="G3" t="s">
        <v>16</v>
      </c>
      <c r="H3" t="s">
        <v>13</v>
      </c>
      <c r="I3">
        <v>1049</v>
      </c>
      <c r="J3">
        <v>49</v>
      </c>
      <c r="K3" s="3">
        <v>1.9E-3</v>
      </c>
      <c r="L3" s="3">
        <v>0.92</v>
      </c>
      <c r="M3" s="10">
        <v>1.0430894308943088</v>
      </c>
      <c r="N3">
        <v>1.7000000000000001E-2</v>
      </c>
      <c r="O3">
        <v>0.19</v>
      </c>
      <c r="P3" s="3">
        <v>6.6400000000000001E-3</v>
      </c>
      <c r="Q3" s="3">
        <v>3.5100000000000001E-3</v>
      </c>
      <c r="R3">
        <v>1.0999999999999999E-2</v>
      </c>
      <c r="S3">
        <v>1.0999999999999999E-2</v>
      </c>
      <c r="T3" s="3">
        <v>1.24E-3</v>
      </c>
      <c r="U3" s="3">
        <v>4.7699999999999999E-3</v>
      </c>
      <c r="V3">
        <v>0.01</v>
      </c>
      <c r="W3" s="3">
        <v>7.6800000000000002E-3</v>
      </c>
      <c r="X3" s="3">
        <v>1.8600000000000001E-3</v>
      </c>
      <c r="Y3" s="3">
        <v>1.24E-3</v>
      </c>
      <c r="Z3">
        <v>2.52</v>
      </c>
      <c r="AA3">
        <v>28.8</v>
      </c>
      <c r="AB3">
        <v>1</v>
      </c>
      <c r="AC3">
        <v>0.53</v>
      </c>
      <c r="AD3">
        <v>1.65</v>
      </c>
      <c r="AE3">
        <v>5.14</v>
      </c>
      <c r="AF3">
        <v>0.6</v>
      </c>
      <c r="AG3">
        <v>2.31</v>
      </c>
      <c r="AH3">
        <v>4.87</v>
      </c>
      <c r="AI3">
        <v>3.71</v>
      </c>
      <c r="AJ3">
        <v>0.9</v>
      </c>
      <c r="AK3">
        <v>0.6</v>
      </c>
      <c r="AL3">
        <v>27754.701425645468</v>
      </c>
      <c r="AM3">
        <v>316655.91171986423</v>
      </c>
      <c r="AN3">
        <v>11038.801703381721</v>
      </c>
      <c r="AO3">
        <v>5834.7951860731955</v>
      </c>
      <c r="AP3">
        <v>18135.174226984254</v>
      </c>
      <c r="AQ3">
        <v>13715.539706487451</v>
      </c>
      <c r="AR3">
        <v>1601.814856232111</v>
      </c>
      <c r="AS3">
        <v>6156.9758536421768</v>
      </c>
      <c r="AT3">
        <v>13014.745706885902</v>
      </c>
      <c r="AU3">
        <v>9911.2294229361869</v>
      </c>
      <c r="AV3">
        <v>2402.7222843481663</v>
      </c>
      <c r="AW3">
        <v>1601.814856232111</v>
      </c>
      <c r="AX3">
        <v>842</v>
      </c>
      <c r="AY3">
        <v>0.86494207430817505</v>
      </c>
      <c r="AZ3">
        <v>100.55463182897863</v>
      </c>
      <c r="BA3">
        <v>31.361947943793044</v>
      </c>
      <c r="BB3">
        <v>29.84176922365134</v>
      </c>
      <c r="BC3">
        <v>26.272653967666461</v>
      </c>
      <c r="BD3">
        <v>22.802680802125611</v>
      </c>
      <c r="BE3">
        <v>25.61170669803963</v>
      </c>
      <c r="BF3">
        <v>24.567535394980126</v>
      </c>
      <c r="BG3">
        <v>24.029329078337515</v>
      </c>
      <c r="BH3">
        <f t="shared" ref="BH3:BH36" si="0">BB3-BA3</f>
        <v>-1.5201787201417041</v>
      </c>
    </row>
    <row r="4" spans="1:60" x14ac:dyDescent="0.2">
      <c r="A4">
        <v>1</v>
      </c>
      <c r="B4" t="s">
        <v>17</v>
      </c>
      <c r="C4" t="s">
        <v>18</v>
      </c>
      <c r="D4" s="2">
        <v>19.571428571428573</v>
      </c>
      <c r="E4" t="s">
        <v>19</v>
      </c>
      <c r="F4" t="s">
        <v>20</v>
      </c>
      <c r="G4" t="s">
        <v>12</v>
      </c>
      <c r="H4" t="s">
        <v>13</v>
      </c>
      <c r="I4">
        <v>-38</v>
      </c>
      <c r="J4">
        <v>20</v>
      </c>
      <c r="K4" s="3">
        <v>4.9799999999999996E-4</v>
      </c>
      <c r="L4" s="3">
        <v>0.32</v>
      </c>
      <c r="M4" s="10">
        <v>1.0085043988269795</v>
      </c>
      <c r="N4">
        <v>2.4E-2</v>
      </c>
      <c r="O4">
        <v>0.19</v>
      </c>
      <c r="P4" s="3">
        <v>4.7600000000000003E-3</v>
      </c>
      <c r="Q4" s="3">
        <v>2.5300000000000001E-3</v>
      </c>
      <c r="R4" s="3">
        <v>4.7600000000000003E-3</v>
      </c>
      <c r="S4" s="3">
        <v>8.3400000000000002E-3</v>
      </c>
      <c r="T4" s="3">
        <v>1.49E-3</v>
      </c>
      <c r="U4" s="3">
        <v>3.0899999999999999E-3</v>
      </c>
      <c r="V4" s="3">
        <v>8.09E-3</v>
      </c>
      <c r="W4" s="3">
        <v>5.3E-3</v>
      </c>
      <c r="X4" s="3">
        <v>2.3600000000000001E-3</v>
      </c>
      <c r="Y4" s="3">
        <v>1.5399999999999999E-3</v>
      </c>
      <c r="Z4">
        <v>3.57</v>
      </c>
      <c r="AA4">
        <v>28.6</v>
      </c>
      <c r="AB4">
        <v>0.72</v>
      </c>
      <c r="AC4">
        <v>0.38</v>
      </c>
      <c r="AD4">
        <v>0.72</v>
      </c>
      <c r="AE4">
        <v>5.36</v>
      </c>
      <c r="AF4">
        <v>0.96</v>
      </c>
      <c r="AG4">
        <v>1.98</v>
      </c>
      <c r="AH4">
        <v>5.2</v>
      </c>
      <c r="AI4">
        <v>3.41</v>
      </c>
      <c r="AJ4">
        <v>1.52</v>
      </c>
      <c r="AK4">
        <v>0.99</v>
      </c>
      <c r="AL4">
        <v>43957.299388480329</v>
      </c>
      <c r="AM4">
        <v>351993.09535699355</v>
      </c>
      <c r="AN4">
        <v>8813.7732276394581</v>
      </c>
      <c r="AO4">
        <v>4685.8034881121166</v>
      </c>
      <c r="AP4">
        <v>8813.7732276394581</v>
      </c>
      <c r="AQ4">
        <v>12220.802541926929</v>
      </c>
      <c r="AR4">
        <v>2188.8004552704947</v>
      </c>
      <c r="AS4">
        <v>4523.5209408923556</v>
      </c>
      <c r="AT4">
        <v>11856.002466048512</v>
      </c>
      <c r="AU4">
        <v>7770.2416162102554</v>
      </c>
      <c r="AV4">
        <v>3465.6007208449496</v>
      </c>
      <c r="AW4">
        <v>2261.7604704461778</v>
      </c>
      <c r="AX4" t="s">
        <v>67</v>
      </c>
      <c r="AY4" t="s">
        <v>67</v>
      </c>
      <c r="AZ4" t="s">
        <v>67</v>
      </c>
      <c r="BA4">
        <v>22.637443984718903</v>
      </c>
      <c r="BB4">
        <v>19.960607542730241</v>
      </c>
      <c r="BC4">
        <v>19.365755000066095</v>
      </c>
      <c r="BD4">
        <v>18.043860460812432</v>
      </c>
      <c r="BE4">
        <v>19.663181271398166</v>
      </c>
      <c r="BF4">
        <v>22.573006103892816</v>
      </c>
      <c r="BG4">
        <v>23.301167591115171</v>
      </c>
      <c r="BH4">
        <f t="shared" si="0"/>
        <v>-2.6768364419886623</v>
      </c>
    </row>
    <row r="5" spans="1:60" x14ac:dyDescent="0.2">
      <c r="A5">
        <v>1</v>
      </c>
      <c r="B5" t="s">
        <v>21</v>
      </c>
      <c r="C5" t="s">
        <v>18</v>
      </c>
      <c r="D5" s="2">
        <v>19.571428571428573</v>
      </c>
      <c r="E5" t="s">
        <v>15</v>
      </c>
      <c r="F5" t="s">
        <v>11</v>
      </c>
      <c r="G5" t="s">
        <v>16</v>
      </c>
      <c r="H5" t="s">
        <v>13</v>
      </c>
      <c r="I5">
        <v>244</v>
      </c>
      <c r="J5">
        <v>37</v>
      </c>
      <c r="K5" s="3">
        <v>2.1299999999999999E-3</v>
      </c>
      <c r="L5">
        <v>0.62</v>
      </c>
      <c r="M5" s="10">
        <v>1.0839879154078551</v>
      </c>
      <c r="N5">
        <v>2.5000000000000001E-2</v>
      </c>
      <c r="O5">
        <v>0.19</v>
      </c>
      <c r="P5" s="3">
        <v>3.8800000000000002E-3</v>
      </c>
      <c r="Q5" s="3">
        <v>2.3E-3</v>
      </c>
      <c r="R5" s="3">
        <v>5.5999999999999999E-3</v>
      </c>
      <c r="S5">
        <v>1.7999999999999999E-2</v>
      </c>
      <c r="T5" s="3">
        <v>5.4200000000000003E-3</v>
      </c>
      <c r="U5" s="3">
        <v>7.2100000000000003E-3</v>
      </c>
      <c r="V5">
        <v>1.7999999999999999E-2</v>
      </c>
      <c r="W5">
        <v>1.2E-2</v>
      </c>
      <c r="X5" s="3">
        <v>2.3600000000000001E-3</v>
      </c>
      <c r="Y5" s="3">
        <v>2.0200000000000001E-3</v>
      </c>
      <c r="Z5">
        <v>4.0599999999999996</v>
      </c>
      <c r="AA5">
        <v>30</v>
      </c>
      <c r="AB5">
        <v>0.62</v>
      </c>
      <c r="AC5">
        <v>0.37</v>
      </c>
      <c r="AD5">
        <v>0.9</v>
      </c>
      <c r="AE5">
        <v>5.25</v>
      </c>
      <c r="AF5">
        <v>1.57</v>
      </c>
      <c r="AG5">
        <v>2.09</v>
      </c>
      <c r="AH5">
        <v>5.13</v>
      </c>
      <c r="AI5">
        <v>3.39</v>
      </c>
      <c r="AJ5">
        <v>0.69</v>
      </c>
      <c r="AK5">
        <v>0.57999999999999996</v>
      </c>
      <c r="AL5">
        <v>39553.116819124938</v>
      </c>
      <c r="AM5">
        <v>291620.43756473472</v>
      </c>
      <c r="AN5">
        <v>6033.5262944427868</v>
      </c>
      <c r="AO5">
        <v>3575.4229892994294</v>
      </c>
      <c r="AP5">
        <v>8715.0935364173602</v>
      </c>
      <c r="AQ5">
        <v>12944.103321976327</v>
      </c>
      <c r="AR5">
        <v>3874.9863447954608</v>
      </c>
      <c r="AS5">
        <v>5152.9073733982186</v>
      </c>
      <c r="AT5">
        <v>12655.540509066026</v>
      </c>
      <c r="AU5">
        <v>8368.3215743987075</v>
      </c>
      <c r="AV5">
        <v>1690.1536184746158</v>
      </c>
      <c r="AW5">
        <v>1442.8140645515014</v>
      </c>
      <c r="AX5">
        <v>1420</v>
      </c>
      <c r="AY5">
        <v>1.0905735818288975</v>
      </c>
      <c r="AZ5">
        <v>93.328169014084509</v>
      </c>
      <c r="BA5">
        <v>27.297122235588041</v>
      </c>
      <c r="BB5">
        <v>20.621554812357068</v>
      </c>
      <c r="BC5">
        <v>23.992385887453899</v>
      </c>
      <c r="BD5">
        <v>21.513833626353286</v>
      </c>
      <c r="BE5">
        <v>21.051170537614514</v>
      </c>
      <c r="BF5">
        <v>24.979104931236233</v>
      </c>
      <c r="BG5">
        <v>25.865562393941698</v>
      </c>
      <c r="BH5">
        <f t="shared" si="0"/>
        <v>-6.675567423230973</v>
      </c>
    </row>
    <row r="6" spans="1:60" x14ac:dyDescent="0.2">
      <c r="A6">
        <v>1</v>
      </c>
      <c r="B6" t="s">
        <v>22</v>
      </c>
      <c r="C6" t="s">
        <v>18</v>
      </c>
      <c r="D6" s="2">
        <v>17.285714285714285</v>
      </c>
      <c r="E6" t="s">
        <v>19</v>
      </c>
      <c r="F6" t="s">
        <v>20</v>
      </c>
      <c r="G6" t="s">
        <v>12</v>
      </c>
      <c r="H6" t="s">
        <v>23</v>
      </c>
      <c r="I6">
        <v>1196</v>
      </c>
      <c r="J6">
        <v>17</v>
      </c>
      <c r="K6" s="3">
        <v>6.6500000000000001E-4</v>
      </c>
      <c r="L6" s="3">
        <v>0.39</v>
      </c>
      <c r="M6" s="10">
        <v>1.0967455621301776</v>
      </c>
      <c r="N6">
        <v>3.4000000000000002E-2</v>
      </c>
      <c r="O6">
        <v>9.9000000000000005E-2</v>
      </c>
      <c r="P6" s="3">
        <v>1.8500000000000001E-3</v>
      </c>
      <c r="Q6" s="3">
        <v>1.8500000000000001E-3</v>
      </c>
      <c r="R6" s="3">
        <v>2.49E-3</v>
      </c>
      <c r="S6" s="3">
        <v>6.1799999999999997E-3</v>
      </c>
      <c r="T6" s="3">
        <v>1.49E-3</v>
      </c>
      <c r="U6" s="3">
        <v>1.5299999999999999E-3</v>
      </c>
      <c r="V6" s="3">
        <v>5.8700000000000002E-3</v>
      </c>
      <c r="W6" s="3">
        <v>3.0899999999999999E-3</v>
      </c>
      <c r="X6" s="3">
        <v>2E-3</v>
      </c>
      <c r="Y6" s="3">
        <v>9.7900000000000005E-4</v>
      </c>
      <c r="Z6">
        <v>9.7899999999999991</v>
      </c>
      <c r="AA6">
        <v>28.9</v>
      </c>
      <c r="AB6">
        <v>0.54</v>
      </c>
      <c r="AC6">
        <v>0.54</v>
      </c>
      <c r="AD6">
        <v>0.72</v>
      </c>
      <c r="AE6">
        <v>3.6</v>
      </c>
      <c r="AF6">
        <v>0.87</v>
      </c>
      <c r="AG6">
        <v>0.89</v>
      </c>
      <c r="AH6">
        <v>3.42</v>
      </c>
      <c r="AI6">
        <v>1.8</v>
      </c>
      <c r="AJ6">
        <v>1.1599999999999999</v>
      </c>
      <c r="AK6">
        <v>0.56999999999999995</v>
      </c>
      <c r="AL6">
        <v>40692.599186816937</v>
      </c>
      <c r="AM6">
        <v>119959.55267127404</v>
      </c>
      <c r="AN6">
        <v>2229.7314622913391</v>
      </c>
      <c r="AO6">
        <v>2229.7314622913391</v>
      </c>
      <c r="AP6">
        <v>3010.1374740933079</v>
      </c>
      <c r="AQ6">
        <v>6357.6595966205823</v>
      </c>
      <c r="AR6">
        <v>1529.0573713391275</v>
      </c>
      <c r="AS6">
        <v>1569.2957232164729</v>
      </c>
      <c r="AT6">
        <v>6035.7527816018192</v>
      </c>
      <c r="AU6">
        <v>3178.8297983102912</v>
      </c>
      <c r="AV6">
        <v>2052.1559457446183</v>
      </c>
      <c r="AW6">
        <v>1005.9587969336364</v>
      </c>
      <c r="AX6">
        <v>1333</v>
      </c>
      <c r="AY6">
        <v>1.0217125114726653</v>
      </c>
      <c r="AZ6">
        <v>99.177794448612147</v>
      </c>
      <c r="BA6">
        <v>48.017819138389136</v>
      </c>
      <c r="BB6">
        <v>25.446469880632918</v>
      </c>
      <c r="BC6">
        <v>22.373065076868173</v>
      </c>
      <c r="BD6">
        <v>22.439159803830847</v>
      </c>
      <c r="BE6">
        <v>22.207828259461461</v>
      </c>
      <c r="BF6">
        <v>27.163589392903276</v>
      </c>
      <c r="BG6">
        <v>24.219284248917262</v>
      </c>
      <c r="BH6">
        <f t="shared" si="0"/>
        <v>-22.571349257756218</v>
      </c>
    </row>
    <row r="7" spans="1:60" x14ac:dyDescent="0.2">
      <c r="A7">
        <v>1</v>
      </c>
      <c r="B7" t="s">
        <v>24</v>
      </c>
      <c r="C7" t="s">
        <v>18</v>
      </c>
      <c r="D7" s="2">
        <v>19.571428571428573</v>
      </c>
      <c r="E7" t="s">
        <v>25</v>
      </c>
      <c r="F7" t="s">
        <v>11</v>
      </c>
      <c r="G7" t="s">
        <v>26</v>
      </c>
      <c r="H7" t="s">
        <v>23</v>
      </c>
      <c r="I7">
        <v>3262</v>
      </c>
      <c r="J7">
        <v>1203</v>
      </c>
      <c r="K7">
        <v>0.13</v>
      </c>
      <c r="L7" s="3">
        <v>7.23</v>
      </c>
      <c r="M7" s="10">
        <v>3.3471631205673757</v>
      </c>
      <c r="N7">
        <v>0.19</v>
      </c>
      <c r="O7">
        <v>0.39</v>
      </c>
      <c r="P7">
        <v>3.1E-2</v>
      </c>
      <c r="Q7" s="3">
        <v>9.2599999999999991E-3</v>
      </c>
      <c r="R7">
        <v>3.6999999999999998E-2</v>
      </c>
      <c r="S7">
        <v>0.26</v>
      </c>
      <c r="T7">
        <v>4.1000000000000002E-2</v>
      </c>
      <c r="U7">
        <v>0.12</v>
      </c>
      <c r="V7">
        <v>0.25</v>
      </c>
      <c r="W7">
        <v>0.33</v>
      </c>
      <c r="X7">
        <v>3.3000000000000002E-2</v>
      </c>
      <c r="Y7">
        <v>1.7000000000000001E-2</v>
      </c>
      <c r="Z7">
        <v>6.04</v>
      </c>
      <c r="AA7">
        <v>12.5</v>
      </c>
      <c r="AB7">
        <v>0.97</v>
      </c>
      <c r="AC7">
        <v>0.28999999999999998</v>
      </c>
      <c r="AD7">
        <v>1.17</v>
      </c>
      <c r="AE7">
        <v>14.1</v>
      </c>
      <c r="AF7">
        <v>2.2400000000000002</v>
      </c>
      <c r="AG7">
        <v>6.7</v>
      </c>
      <c r="AH7">
        <v>13.9</v>
      </c>
      <c r="AI7">
        <v>18</v>
      </c>
      <c r="AJ7">
        <v>1.82</v>
      </c>
      <c r="AK7">
        <v>0.93</v>
      </c>
      <c r="AL7">
        <v>29126.544458604163</v>
      </c>
      <c r="AM7">
        <v>60336.36402693305</v>
      </c>
      <c r="AN7">
        <v>4677.5422274951352</v>
      </c>
      <c r="AO7">
        <v>1415.0547915111333</v>
      </c>
      <c r="AP7">
        <v>5660.2191660445333</v>
      </c>
      <c r="AQ7">
        <v>32017.48817285027</v>
      </c>
      <c r="AR7">
        <v>5070.4578971052788</v>
      </c>
      <c r="AS7">
        <v>15184.113164987315</v>
      </c>
      <c r="AT7">
        <v>31472.27764627981</v>
      </c>
      <c r="AU7">
        <v>40781.747387470416</v>
      </c>
      <c r="AV7">
        <v>4129.9697387712358</v>
      </c>
      <c r="AW7">
        <v>2099.0605272962716</v>
      </c>
      <c r="AX7">
        <v>3784</v>
      </c>
      <c r="AY7">
        <v>27.976409263487628</v>
      </c>
      <c r="AZ7">
        <v>1041.5293340380549</v>
      </c>
      <c r="BA7">
        <v>24.322859522267311</v>
      </c>
      <c r="BB7">
        <v>66.259963780089606</v>
      </c>
      <c r="BC7">
        <v>61.666380256183167</v>
      </c>
      <c r="BD7">
        <v>40.416925537680598</v>
      </c>
      <c r="BE7">
        <v>73.761715290354132</v>
      </c>
      <c r="BF7">
        <v>39.22574272471698</v>
      </c>
      <c r="BG7">
        <v>48.786819643897381</v>
      </c>
      <c r="BH7">
        <f t="shared" si="0"/>
        <v>41.937104257822298</v>
      </c>
    </row>
    <row r="8" spans="1:60" x14ac:dyDescent="0.2">
      <c r="A8">
        <v>1</v>
      </c>
      <c r="B8" t="s">
        <v>27</v>
      </c>
      <c r="C8" t="s">
        <v>18</v>
      </c>
      <c r="D8" s="2">
        <v>17.285714285714285</v>
      </c>
      <c r="E8" t="s">
        <v>15</v>
      </c>
      <c r="F8" t="s">
        <v>11</v>
      </c>
      <c r="G8" t="s">
        <v>16</v>
      </c>
      <c r="H8" t="s">
        <v>23</v>
      </c>
      <c r="I8">
        <v>-617</v>
      </c>
      <c r="J8">
        <v>24</v>
      </c>
      <c r="K8" s="3">
        <v>6.2100000000000002E-4</v>
      </c>
      <c r="L8" s="3">
        <v>0.41</v>
      </c>
      <c r="M8" s="10">
        <v>1.5372670807453415</v>
      </c>
      <c r="N8">
        <v>3.1E-2</v>
      </c>
      <c r="O8">
        <v>0.12</v>
      </c>
      <c r="P8" s="3">
        <v>4.0899999999999999E-3</v>
      </c>
      <c r="Q8" s="3">
        <v>6.29E-4</v>
      </c>
      <c r="R8" s="3">
        <v>3.8400000000000001E-3</v>
      </c>
      <c r="S8" s="3">
        <v>7.4799999999999997E-3</v>
      </c>
      <c r="T8" s="3">
        <v>1.4E-3</v>
      </c>
      <c r="U8" s="3">
        <v>3.2599999999999999E-3</v>
      </c>
      <c r="V8" s="3">
        <v>6.8300000000000001E-3</v>
      </c>
      <c r="W8" s="3">
        <v>5.8700000000000002E-3</v>
      </c>
      <c r="X8" s="3">
        <v>1.5499999999999999E-3</v>
      </c>
      <c r="Y8" s="3">
        <v>6.9899999999999997E-4</v>
      </c>
      <c r="Z8">
        <v>8.5299999999999994</v>
      </c>
      <c r="AA8">
        <v>34.299999999999997</v>
      </c>
      <c r="AB8">
        <v>1.1200000000000001</v>
      </c>
      <c r="AC8">
        <v>0.17</v>
      </c>
      <c r="AD8">
        <v>1.05</v>
      </c>
      <c r="AE8">
        <v>4.95</v>
      </c>
      <c r="AF8">
        <v>0.92</v>
      </c>
      <c r="AG8">
        <v>2.16</v>
      </c>
      <c r="AH8">
        <v>4.5199999999999996</v>
      </c>
      <c r="AI8">
        <v>3.89</v>
      </c>
      <c r="AJ8">
        <v>1.03</v>
      </c>
      <c r="AK8">
        <v>0.46</v>
      </c>
      <c r="AL8">
        <v>42471.749193832038</v>
      </c>
      <c r="AM8">
        <v>170918.69918489491</v>
      </c>
      <c r="AN8">
        <v>5588.3880518200049</v>
      </c>
      <c r="AO8">
        <v>859.75200797230843</v>
      </c>
      <c r="AP8">
        <v>5244.4872486310815</v>
      </c>
      <c r="AQ8">
        <v>7821.9486314499436</v>
      </c>
      <c r="AR8">
        <v>1461.5405747345917</v>
      </c>
      <c r="AS8">
        <v>3410.2613410473805</v>
      </c>
      <c r="AT8">
        <v>7145.3094764802254</v>
      </c>
      <c r="AU8">
        <v>6143.8835271250427</v>
      </c>
      <c r="AV8">
        <v>1623.9339719273239</v>
      </c>
      <c r="AW8">
        <v>730.77028736729585</v>
      </c>
      <c r="AX8">
        <v>3808</v>
      </c>
      <c r="AY8">
        <v>13.77652849452533</v>
      </c>
      <c r="AZ8">
        <v>491.37447478991595</v>
      </c>
      <c r="BA8">
        <v>26.206559240703768</v>
      </c>
      <c r="BB8">
        <v>54.032439291993285</v>
      </c>
      <c r="BC8">
        <v>47.984771774907792</v>
      </c>
      <c r="BD8">
        <v>38.566273182725475</v>
      </c>
      <c r="BE8">
        <v>30.271384948908779</v>
      </c>
      <c r="BF8">
        <v>30.012916951599429</v>
      </c>
      <c r="BG8">
        <v>37.04125826304994</v>
      </c>
      <c r="BH8">
        <f t="shared" si="0"/>
        <v>27.825880051289516</v>
      </c>
    </row>
    <row r="9" spans="1:60" x14ac:dyDescent="0.2">
      <c r="A9">
        <v>1</v>
      </c>
      <c r="B9" t="s">
        <v>28</v>
      </c>
      <c r="C9" t="s">
        <v>9</v>
      </c>
      <c r="D9" s="2">
        <v>19.571428571428573</v>
      </c>
      <c r="E9" t="s">
        <v>15</v>
      </c>
      <c r="F9" t="s">
        <v>11</v>
      </c>
      <c r="G9" t="s">
        <v>16</v>
      </c>
      <c r="H9" t="s">
        <v>23</v>
      </c>
      <c r="I9">
        <v>1062</v>
      </c>
      <c r="J9">
        <v>196</v>
      </c>
      <c r="K9">
        <v>1.4E-2</v>
      </c>
      <c r="L9" s="3">
        <v>2.14</v>
      </c>
      <c r="M9" s="10">
        <v>1.7999999999999998</v>
      </c>
      <c r="N9">
        <v>4.7E-2</v>
      </c>
      <c r="O9">
        <v>0.4</v>
      </c>
      <c r="P9">
        <v>3.1E-2</v>
      </c>
      <c r="Q9" s="3">
        <v>3.5200000000000001E-3</v>
      </c>
      <c r="R9">
        <v>1.0999999999999999E-2</v>
      </c>
      <c r="S9">
        <v>0.12</v>
      </c>
      <c r="T9">
        <v>1.7999999999999999E-2</v>
      </c>
      <c r="U9">
        <v>4.9000000000000002E-2</v>
      </c>
      <c r="V9">
        <v>0.11</v>
      </c>
      <c r="W9">
        <v>0.02</v>
      </c>
      <c r="X9" s="3">
        <v>8.7899999999999992E-3</v>
      </c>
      <c r="Y9" s="3">
        <v>4.4299999999999999E-3</v>
      </c>
      <c r="Z9">
        <v>2.96</v>
      </c>
      <c r="AA9">
        <v>24.7</v>
      </c>
      <c r="AB9">
        <v>1.96</v>
      </c>
      <c r="AC9">
        <v>0.22</v>
      </c>
      <c r="AD9">
        <v>0.67</v>
      </c>
      <c r="AE9">
        <v>18.399999999999999</v>
      </c>
      <c r="AF9">
        <v>2.81</v>
      </c>
      <c r="AG9">
        <v>7.58</v>
      </c>
      <c r="AH9">
        <v>17.3</v>
      </c>
      <c r="AI9">
        <v>3.12</v>
      </c>
      <c r="AJ9">
        <v>1.34</v>
      </c>
      <c r="AK9">
        <v>0.68</v>
      </c>
      <c r="AL9">
        <v>24720.356708314492</v>
      </c>
      <c r="AM9">
        <v>206309.29669206706</v>
      </c>
      <c r="AN9">
        <v>16357.708156431152</v>
      </c>
      <c r="AO9">
        <v>1837.9447366776574</v>
      </c>
      <c r="AP9">
        <v>5605.7314468668555</v>
      </c>
      <c r="AQ9">
        <v>64357.298874837106</v>
      </c>
      <c r="AR9">
        <v>9827.5851520101824</v>
      </c>
      <c r="AS9">
        <v>26500.064242579985</v>
      </c>
      <c r="AT9">
        <v>60495.096149728044</v>
      </c>
      <c r="AU9">
        <v>10898.29481837705</v>
      </c>
      <c r="AV9">
        <v>4703.4746058258843</v>
      </c>
      <c r="AW9">
        <v>2370.8571183837794</v>
      </c>
      <c r="AX9">
        <v>2887</v>
      </c>
      <c r="AY9">
        <v>11.917282506057656</v>
      </c>
      <c r="AZ9">
        <v>445.28507100796674</v>
      </c>
      <c r="BA9">
        <v>19.630133907916825</v>
      </c>
      <c r="BB9">
        <v>46.001929966027312</v>
      </c>
      <c r="BC9">
        <v>30.436621766315479</v>
      </c>
      <c r="BD9">
        <v>32.221179394307924</v>
      </c>
      <c r="BE9">
        <v>25.776943515446334</v>
      </c>
      <c r="BF9">
        <v>25.960539979231577</v>
      </c>
      <c r="BG9">
        <v>21.844844616670468</v>
      </c>
      <c r="BH9">
        <f t="shared" si="0"/>
        <v>26.371796058110487</v>
      </c>
    </row>
    <row r="10" spans="1:60" x14ac:dyDescent="0.2">
      <c r="A10">
        <v>1</v>
      </c>
      <c r="B10" t="s">
        <v>29</v>
      </c>
      <c r="C10" t="s">
        <v>9</v>
      </c>
      <c r="D10" s="2">
        <v>20.428571428571427</v>
      </c>
      <c r="E10" t="s">
        <v>10</v>
      </c>
      <c r="F10" t="s">
        <v>11</v>
      </c>
      <c r="G10" t="s">
        <v>12</v>
      </c>
      <c r="H10" t="s">
        <v>23</v>
      </c>
      <c r="I10">
        <v>-1041</v>
      </c>
      <c r="J10">
        <v>178</v>
      </c>
      <c r="K10">
        <v>1.0999999999999999E-2</v>
      </c>
      <c r="L10" s="3">
        <v>1.2</v>
      </c>
      <c r="M10" s="10">
        <v>2.6040322580645157</v>
      </c>
      <c r="N10">
        <v>0.11</v>
      </c>
      <c r="O10">
        <v>0.28999999999999998</v>
      </c>
      <c r="P10">
        <v>2.1000000000000001E-2</v>
      </c>
      <c r="Q10" s="3">
        <v>5.6299999999999996E-3</v>
      </c>
      <c r="R10">
        <v>1.0999999999999999E-2</v>
      </c>
      <c r="S10">
        <v>0.14000000000000001</v>
      </c>
      <c r="T10">
        <v>4.2000000000000003E-2</v>
      </c>
      <c r="U10">
        <v>4.2000000000000003E-2</v>
      </c>
      <c r="V10">
        <v>0.14000000000000001</v>
      </c>
      <c r="W10">
        <v>0.05</v>
      </c>
      <c r="X10">
        <v>1.7000000000000001E-2</v>
      </c>
      <c r="Y10">
        <v>1.0999999999999999E-2</v>
      </c>
      <c r="Z10">
        <v>7.91</v>
      </c>
      <c r="AA10">
        <v>20.3</v>
      </c>
      <c r="AB10">
        <v>1.42</v>
      </c>
      <c r="AC10">
        <v>0.39</v>
      </c>
      <c r="AD10">
        <v>0.78</v>
      </c>
      <c r="AE10">
        <v>15.2</v>
      </c>
      <c r="AF10">
        <v>4.37</v>
      </c>
      <c r="AG10">
        <v>4.3899999999999997</v>
      </c>
      <c r="AH10">
        <v>14.3</v>
      </c>
      <c r="AI10">
        <v>5.26</v>
      </c>
      <c r="AJ10">
        <v>1.83</v>
      </c>
      <c r="AK10">
        <v>1.18</v>
      </c>
      <c r="AL10">
        <v>58407.323207321715</v>
      </c>
      <c r="AM10">
        <v>149878.92000002493</v>
      </c>
      <c r="AN10">
        <v>10461.013111759114</v>
      </c>
      <c r="AO10">
        <v>2864.3250186959476</v>
      </c>
      <c r="AP10">
        <v>5790.9179725809381</v>
      </c>
      <c r="AQ10">
        <v>50752.703405035296</v>
      </c>
      <c r="AR10">
        <v>14616.418791879903</v>
      </c>
      <c r="AS10">
        <v>14683.879186303966</v>
      </c>
      <c r="AT10">
        <v>47896.880041083379</v>
      </c>
      <c r="AU10">
        <v>17607.162944679945</v>
      </c>
      <c r="AV10">
        <v>6138.8958925895595</v>
      </c>
      <c r="AW10">
        <v>3957.6764728782509</v>
      </c>
      <c r="AX10">
        <v>3075</v>
      </c>
      <c r="AY10">
        <v>18.473793722420581</v>
      </c>
      <c r="AZ10">
        <v>809.14471544715445</v>
      </c>
      <c r="BA10">
        <v>18.539570913032556</v>
      </c>
      <c r="BB10">
        <v>58.031170273235603</v>
      </c>
      <c r="BC10">
        <v>51.091223942153889</v>
      </c>
      <c r="BD10">
        <v>39.458551996721695</v>
      </c>
      <c r="BE10">
        <v>25.314280426707565</v>
      </c>
      <c r="BF10">
        <v>26.087176759618075</v>
      </c>
      <c r="BG10">
        <v>27.986728465415506</v>
      </c>
      <c r="BH10">
        <f t="shared" si="0"/>
        <v>39.491599360203047</v>
      </c>
    </row>
    <row r="11" spans="1:60" x14ac:dyDescent="0.2">
      <c r="A11">
        <v>2</v>
      </c>
      <c r="B11" t="s">
        <v>30</v>
      </c>
      <c r="C11" t="s">
        <v>18</v>
      </c>
      <c r="D11" s="2">
        <v>19.857142857142858</v>
      </c>
      <c r="E11" t="s">
        <v>15</v>
      </c>
      <c r="F11" t="s">
        <v>11</v>
      </c>
      <c r="G11" t="s">
        <v>16</v>
      </c>
      <c r="H11" t="s">
        <v>23</v>
      </c>
      <c r="I11" t="s">
        <v>67</v>
      </c>
      <c r="J11" t="s">
        <v>67</v>
      </c>
      <c r="K11" t="s">
        <v>67</v>
      </c>
      <c r="L11" t="s">
        <v>67</v>
      </c>
      <c r="M11" s="10">
        <v>1.1308988764044943</v>
      </c>
      <c r="N11" t="s">
        <v>67</v>
      </c>
      <c r="O11" t="s">
        <v>67</v>
      </c>
      <c r="P11" t="s">
        <v>67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67</v>
      </c>
      <c r="Z11" t="s">
        <v>67</v>
      </c>
      <c r="AA11" t="s">
        <v>67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>
        <v>1588</v>
      </c>
      <c r="AY11">
        <v>2.9350271328479187</v>
      </c>
      <c r="AZ11">
        <v>232.47544080604533</v>
      </c>
      <c r="BA11">
        <v>20.546817617708893</v>
      </c>
      <c r="BB11">
        <v>53.852290859357204</v>
      </c>
      <c r="BC11">
        <v>36.97793987285668</v>
      </c>
      <c r="BD11">
        <v>28.113365245802004</v>
      </c>
      <c r="BE11">
        <v>24.250943444013878</v>
      </c>
      <c r="BF11">
        <v>22.12977737254009</v>
      </c>
      <c r="BG11">
        <v>23.427804371501665</v>
      </c>
      <c r="BH11">
        <f t="shared" si="0"/>
        <v>33.305473241648315</v>
      </c>
    </row>
    <row r="12" spans="1:60" x14ac:dyDescent="0.2">
      <c r="A12">
        <v>2</v>
      </c>
      <c r="B12" t="s">
        <v>31</v>
      </c>
      <c r="C12" t="s">
        <v>18</v>
      </c>
      <c r="D12" s="2">
        <v>18.571428571428573</v>
      </c>
      <c r="E12" t="s">
        <v>10</v>
      </c>
      <c r="F12" t="s">
        <v>11</v>
      </c>
      <c r="G12" t="s">
        <v>12</v>
      </c>
      <c r="H12" t="s">
        <v>23</v>
      </c>
      <c r="I12" t="s">
        <v>67</v>
      </c>
      <c r="J12" t="s">
        <v>67</v>
      </c>
      <c r="K12" t="s">
        <v>67</v>
      </c>
      <c r="L12" t="s">
        <v>67</v>
      </c>
      <c r="M12" s="10">
        <v>1.538957055214724</v>
      </c>
      <c r="N12" t="s">
        <v>67</v>
      </c>
      <c r="O12" t="s">
        <v>67</v>
      </c>
      <c r="P12" t="s">
        <v>67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>
        <v>25.200719296912602</v>
      </c>
      <c r="BB12">
        <v>30.614441658435279</v>
      </c>
      <c r="BC12">
        <v>31.184307170174513</v>
      </c>
      <c r="BD12">
        <v>24.060988273434141</v>
      </c>
      <c r="BE12">
        <v>25.264037687105841</v>
      </c>
      <c r="BF12">
        <v>23.079553225438797</v>
      </c>
      <c r="BG12">
        <v>27.92341007522225</v>
      </c>
      <c r="BH12">
        <f t="shared" si="0"/>
        <v>5.4137223615226766</v>
      </c>
    </row>
    <row r="13" spans="1:60" x14ac:dyDescent="0.2">
      <c r="A13">
        <v>2</v>
      </c>
      <c r="B13" t="s">
        <v>32</v>
      </c>
      <c r="C13" t="s">
        <v>18</v>
      </c>
      <c r="D13" s="2">
        <v>19.857142857142858</v>
      </c>
      <c r="E13" t="s">
        <v>10</v>
      </c>
      <c r="F13" t="s">
        <v>11</v>
      </c>
      <c r="G13" t="s">
        <v>12</v>
      </c>
      <c r="H13" t="s">
        <v>23</v>
      </c>
      <c r="I13" t="s">
        <v>67</v>
      </c>
      <c r="J13" t="s">
        <v>67</v>
      </c>
      <c r="K13" t="s">
        <v>67</v>
      </c>
      <c r="L13" t="s">
        <v>67</v>
      </c>
      <c r="M13" s="10">
        <v>1.2950819672131149</v>
      </c>
      <c r="N13" t="s">
        <v>67</v>
      </c>
      <c r="O13" t="s">
        <v>67</v>
      </c>
      <c r="P13" t="s">
        <v>67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>
        <v>1201</v>
      </c>
      <c r="AY13">
        <v>2.1519898275879372</v>
      </c>
      <c r="AZ13">
        <v>249.98667776852622</v>
      </c>
      <c r="BA13">
        <v>24.409239419497002</v>
      </c>
      <c r="BB13">
        <v>28.651571562444602</v>
      </c>
      <c r="BC13">
        <v>27.385203758579646</v>
      </c>
      <c r="BD13">
        <v>84.72000607856549</v>
      </c>
      <c r="BE13">
        <v>28.366638806574993</v>
      </c>
      <c r="BF13">
        <v>28.176683635995243</v>
      </c>
      <c r="BG13">
        <v>24.789149760656489</v>
      </c>
      <c r="BH13">
        <f t="shared" si="0"/>
        <v>4.2423321429475997</v>
      </c>
    </row>
    <row r="14" spans="1:60" x14ac:dyDescent="0.2">
      <c r="A14">
        <v>3</v>
      </c>
      <c r="B14" t="s">
        <v>33</v>
      </c>
      <c r="C14" t="s">
        <v>18</v>
      </c>
      <c r="D14" s="2">
        <v>23.142857142857142</v>
      </c>
      <c r="E14" t="s">
        <v>15</v>
      </c>
      <c r="F14" t="s">
        <v>11</v>
      </c>
      <c r="G14" t="s">
        <v>16</v>
      </c>
      <c r="H14" t="s">
        <v>13</v>
      </c>
      <c r="I14">
        <v>1180</v>
      </c>
      <c r="J14">
        <v>14</v>
      </c>
      <c r="K14" s="3">
        <v>7.3499999999999998E-4</v>
      </c>
      <c r="L14">
        <v>0.2</v>
      </c>
      <c r="M14" s="10">
        <v>1.0778787878787879</v>
      </c>
      <c r="N14">
        <v>4.2000000000000003E-2</v>
      </c>
      <c r="O14">
        <v>0.35</v>
      </c>
      <c r="P14">
        <v>6.4000000000000001E-2</v>
      </c>
      <c r="Q14">
        <v>3.1E-2</v>
      </c>
      <c r="R14">
        <v>2.8000000000000001E-2</v>
      </c>
      <c r="S14">
        <v>1.9E-2</v>
      </c>
      <c r="T14" s="3">
        <v>6.7600000000000004E-3</v>
      </c>
      <c r="U14" s="3">
        <v>5.8799999999999998E-3</v>
      </c>
      <c r="V14">
        <v>1.7000000000000001E-2</v>
      </c>
      <c r="W14">
        <v>0.02</v>
      </c>
      <c r="X14" s="3">
        <v>2.2399999999999998E-3</v>
      </c>
      <c r="Y14" s="3">
        <v>1.66E-3</v>
      </c>
      <c r="Z14">
        <v>4.43</v>
      </c>
      <c r="AA14">
        <v>37.1</v>
      </c>
      <c r="AB14">
        <v>6.81</v>
      </c>
      <c r="AC14">
        <v>3.34</v>
      </c>
      <c r="AD14">
        <v>2.97</v>
      </c>
      <c r="AE14">
        <v>5.0199999999999996</v>
      </c>
      <c r="AF14">
        <v>1.83</v>
      </c>
      <c r="AG14">
        <v>1.59</v>
      </c>
      <c r="AH14">
        <v>4.63</v>
      </c>
      <c r="AI14">
        <v>5.55</v>
      </c>
      <c r="AJ14">
        <v>0.61</v>
      </c>
      <c r="AK14">
        <v>0.45</v>
      </c>
      <c r="AL14">
        <v>59689.249862111603</v>
      </c>
      <c r="AM14">
        <v>499351.52933425072</v>
      </c>
      <c r="AN14">
        <v>91717.627836903193</v>
      </c>
      <c r="AO14">
        <v>44922.919756850548</v>
      </c>
      <c r="AP14">
        <v>39931.484228311594</v>
      </c>
      <c r="AQ14">
        <v>18914.267892977121</v>
      </c>
      <c r="AR14">
        <v>6906.8955788961403</v>
      </c>
      <c r="AS14">
        <v>2072.0686736688422</v>
      </c>
      <c r="AT14">
        <v>17426.628845214876</v>
      </c>
      <c r="AU14">
        <v>20880.076634662946</v>
      </c>
      <c r="AV14">
        <v>2284.588537634877</v>
      </c>
      <c r="AW14">
        <v>1700.1589117282806</v>
      </c>
      <c r="AX14">
        <v>1425</v>
      </c>
      <c r="AY14">
        <v>1.1969158672934672</v>
      </c>
      <c r="AZ14">
        <v>111.65614035087719</v>
      </c>
      <c r="BA14">
        <v>26.308791125294437</v>
      </c>
      <c r="BB14" t="s">
        <v>67</v>
      </c>
      <c r="BC14">
        <v>25.377039282524752</v>
      </c>
      <c r="BD14">
        <v>26.288977497138404</v>
      </c>
      <c r="BE14">
        <v>25.115230843668037</v>
      </c>
      <c r="BF14" t="s">
        <v>67</v>
      </c>
      <c r="BG14">
        <v>23.300822531768066</v>
      </c>
      <c r="BH14">
        <f>BC14-BA14</f>
        <v>-0.93175184276968537</v>
      </c>
    </row>
    <row r="15" spans="1:60" x14ac:dyDescent="0.2">
      <c r="A15">
        <v>3</v>
      </c>
      <c r="B15" t="s">
        <v>34</v>
      </c>
      <c r="C15" t="s">
        <v>18</v>
      </c>
      <c r="D15" s="2">
        <v>23.142857142857142</v>
      </c>
      <c r="E15" t="s">
        <v>15</v>
      </c>
      <c r="F15" t="s">
        <v>11</v>
      </c>
      <c r="G15" t="s">
        <v>16</v>
      </c>
      <c r="H15" t="s">
        <v>13</v>
      </c>
      <c r="I15">
        <v>514</v>
      </c>
      <c r="J15">
        <v>11</v>
      </c>
      <c r="K15" s="3">
        <v>6.9399999999999996E-4</v>
      </c>
      <c r="L15">
        <v>0.22</v>
      </c>
      <c r="M15" s="10">
        <v>1.0770718232044199</v>
      </c>
      <c r="N15">
        <v>3.7999999999999999E-2</v>
      </c>
      <c r="O15">
        <v>0.24</v>
      </c>
      <c r="P15">
        <v>3.3000000000000002E-2</v>
      </c>
      <c r="Q15">
        <v>2.3E-2</v>
      </c>
      <c r="R15">
        <v>1.7000000000000001E-2</v>
      </c>
      <c r="S15">
        <v>1.7000000000000001E-2</v>
      </c>
      <c r="T15" s="3">
        <v>6.5500000000000003E-3</v>
      </c>
      <c r="U15" s="3">
        <v>5.1200000000000004E-3</v>
      </c>
      <c r="V15">
        <v>1.4E-2</v>
      </c>
      <c r="W15">
        <v>1.4999999999999999E-2</v>
      </c>
      <c r="X15" s="3">
        <v>1.8699999999999999E-3</v>
      </c>
      <c r="Y15" s="3">
        <v>1.4400000000000001E-3</v>
      </c>
      <c r="Z15">
        <v>6.06</v>
      </c>
      <c r="AA15">
        <v>38</v>
      </c>
      <c r="AB15">
        <v>5.24</v>
      </c>
      <c r="AC15">
        <v>3.68</v>
      </c>
      <c r="AD15">
        <v>2.68</v>
      </c>
      <c r="AE15">
        <v>5.25</v>
      </c>
      <c r="AF15">
        <v>1.97</v>
      </c>
      <c r="AG15">
        <v>1.54</v>
      </c>
      <c r="AH15">
        <v>4.18</v>
      </c>
      <c r="AI15">
        <v>4.55</v>
      </c>
      <c r="AJ15">
        <v>0.56000000000000005</v>
      </c>
      <c r="AK15">
        <v>0.43</v>
      </c>
      <c r="AL15">
        <v>57079.062896090931</v>
      </c>
      <c r="AM15">
        <v>357583.54108433437</v>
      </c>
      <c r="AN15">
        <v>49314.631546255034</v>
      </c>
      <c r="AO15">
        <v>34625.166830349277</v>
      </c>
      <c r="AP15">
        <v>25181.939512981295</v>
      </c>
      <c r="AQ15">
        <v>17356.167541254796</v>
      </c>
      <c r="AR15">
        <v>6508.5628279705488</v>
      </c>
      <c r="AS15">
        <v>1859.5893794201568</v>
      </c>
      <c r="AT15">
        <v>13822.947720356498</v>
      </c>
      <c r="AU15">
        <v>15062.67397330327</v>
      </c>
      <c r="AV15">
        <v>1859.5893794201568</v>
      </c>
      <c r="AW15">
        <v>1425.6851908887868</v>
      </c>
      <c r="AX15">
        <v>851</v>
      </c>
      <c r="AY15">
        <v>0.95100874612624853</v>
      </c>
      <c r="AZ15">
        <v>140.86721504112808</v>
      </c>
      <c r="BA15">
        <v>21.49659347060761</v>
      </c>
      <c r="BB15" t="s">
        <v>67</v>
      </c>
      <c r="BC15">
        <v>19.119256361555205</v>
      </c>
      <c r="BD15">
        <v>26.131746770480877</v>
      </c>
      <c r="BE15">
        <v>23.778298403320687</v>
      </c>
      <c r="BF15" t="s">
        <v>67</v>
      </c>
      <c r="BG15">
        <v>26.16567776108381</v>
      </c>
      <c r="BH15">
        <f t="shared" ref="BH15:BH27" si="1">BC15-BA15</f>
        <v>-2.3773371090524051</v>
      </c>
    </row>
    <row r="16" spans="1:60" x14ac:dyDescent="0.2">
      <c r="A16">
        <v>3</v>
      </c>
      <c r="B16" t="s">
        <v>35</v>
      </c>
      <c r="C16" t="s">
        <v>18</v>
      </c>
      <c r="D16" s="2">
        <v>23.142857142857142</v>
      </c>
      <c r="E16" t="s">
        <v>36</v>
      </c>
      <c r="F16" t="s">
        <v>20</v>
      </c>
      <c r="G16" t="s">
        <v>16</v>
      </c>
      <c r="H16" t="s">
        <v>13</v>
      </c>
      <c r="I16">
        <v>478</v>
      </c>
      <c r="J16">
        <v>7</v>
      </c>
      <c r="K16" s="3">
        <v>3.9399999999999998E-4</v>
      </c>
      <c r="L16">
        <v>0.13</v>
      </c>
      <c r="M16" s="10">
        <v>1.1595238095238094</v>
      </c>
      <c r="N16">
        <v>5.2999999999999999E-2</v>
      </c>
      <c r="O16">
        <v>0.26</v>
      </c>
      <c r="P16">
        <v>3.9E-2</v>
      </c>
      <c r="Q16">
        <v>2.1000000000000001E-2</v>
      </c>
      <c r="R16">
        <v>2.4E-2</v>
      </c>
      <c r="S16">
        <v>1.4E-2</v>
      </c>
      <c r="T16" s="3">
        <v>5.4200000000000003E-3</v>
      </c>
      <c r="U16" s="3">
        <v>4.0800000000000003E-3</v>
      </c>
      <c r="V16">
        <v>1.0999999999999999E-2</v>
      </c>
      <c r="W16">
        <v>1.2999999999999999E-2</v>
      </c>
      <c r="X16" s="3">
        <v>1.6800000000000001E-3</v>
      </c>
      <c r="Y16" s="3">
        <v>1.6199999999999999E-3</v>
      </c>
      <c r="Z16">
        <v>7.54</v>
      </c>
      <c r="AA16">
        <v>37.700000000000003</v>
      </c>
      <c r="AB16">
        <v>5.59</v>
      </c>
      <c r="AC16">
        <v>2.94</v>
      </c>
      <c r="AD16">
        <v>3.4</v>
      </c>
      <c r="AE16">
        <v>4.41</v>
      </c>
      <c r="AF16">
        <v>1.73</v>
      </c>
      <c r="AG16">
        <v>1.3</v>
      </c>
      <c r="AH16">
        <v>3.39</v>
      </c>
      <c r="AI16">
        <v>4.16</v>
      </c>
      <c r="AJ16">
        <v>0.54</v>
      </c>
      <c r="AK16">
        <v>0.52</v>
      </c>
      <c r="AL16">
        <v>73257.701854782805</v>
      </c>
      <c r="AM16">
        <v>365862.59240266524</v>
      </c>
      <c r="AN16">
        <v>54304.401084213991</v>
      </c>
      <c r="AO16">
        <v>28536.430373665393</v>
      </c>
      <c r="AP16">
        <v>33008.557521777133</v>
      </c>
      <c r="AQ16">
        <v>8513.5959455981229</v>
      </c>
      <c r="AR16">
        <v>3343.3959786357</v>
      </c>
      <c r="AS16">
        <v>723.8279953747392</v>
      </c>
      <c r="AT16">
        <v>6548.9199581524017</v>
      </c>
      <c r="AU16">
        <v>8031.0439486816294</v>
      </c>
      <c r="AV16">
        <v>1034.0399933924846</v>
      </c>
      <c r="AW16">
        <v>999.57199361273501</v>
      </c>
      <c r="AX16">
        <v>1298</v>
      </c>
      <c r="AY16">
        <v>1.4022863696660677</v>
      </c>
      <c r="AZ16">
        <v>143.62942989214176</v>
      </c>
      <c r="BA16">
        <v>22.984575640148929</v>
      </c>
      <c r="BB16" t="s">
        <v>67</v>
      </c>
      <c r="BC16">
        <v>27.672607891724638</v>
      </c>
      <c r="BD16">
        <v>26.509100514458943</v>
      </c>
      <c r="BE16">
        <v>27.216124678499586</v>
      </c>
      <c r="BF16" t="s">
        <v>67</v>
      </c>
      <c r="BG16">
        <v>25.210726017978565</v>
      </c>
      <c r="BH16">
        <f t="shared" si="1"/>
        <v>4.6880322515757094</v>
      </c>
    </row>
    <row r="17" spans="1:60" x14ac:dyDescent="0.2">
      <c r="A17">
        <v>3</v>
      </c>
      <c r="B17" t="s">
        <v>37</v>
      </c>
      <c r="C17" t="s">
        <v>9</v>
      </c>
      <c r="D17" s="2">
        <v>23.857142857142858</v>
      </c>
      <c r="E17" t="s">
        <v>38</v>
      </c>
      <c r="F17" t="s">
        <v>20</v>
      </c>
      <c r="G17" t="s">
        <v>26</v>
      </c>
      <c r="H17" t="s">
        <v>13</v>
      </c>
      <c r="I17">
        <v>1615</v>
      </c>
      <c r="J17">
        <v>19</v>
      </c>
      <c r="K17" s="3">
        <v>1.8500000000000001E-3</v>
      </c>
      <c r="L17">
        <v>0.52</v>
      </c>
      <c r="M17" s="10">
        <v>0.93775100401606426</v>
      </c>
      <c r="N17">
        <v>1.2999999999999999E-2</v>
      </c>
      <c r="O17">
        <v>0.28000000000000003</v>
      </c>
      <c r="P17">
        <v>3.7999999999999999E-2</v>
      </c>
      <c r="Q17" s="3">
        <v>7.11E-3</v>
      </c>
      <c r="R17">
        <v>1.2E-2</v>
      </c>
      <c r="S17">
        <v>1.6E-2</v>
      </c>
      <c r="T17" s="3">
        <v>6.4400000000000004E-3</v>
      </c>
      <c r="U17" s="3">
        <v>6.5300000000000002E-3</v>
      </c>
      <c r="V17">
        <v>1.4E-2</v>
      </c>
      <c r="W17">
        <v>1.0999999999999999E-2</v>
      </c>
      <c r="X17" s="3">
        <v>3.46E-3</v>
      </c>
      <c r="Y17" s="3">
        <v>2.98E-3</v>
      </c>
      <c r="Z17">
        <v>2.34</v>
      </c>
      <c r="AA17">
        <v>52.8</v>
      </c>
      <c r="AB17">
        <v>7.14</v>
      </c>
      <c r="AC17">
        <v>1.32</v>
      </c>
      <c r="AD17">
        <v>2.21</v>
      </c>
      <c r="AE17">
        <v>4.57</v>
      </c>
      <c r="AF17">
        <v>1.8</v>
      </c>
      <c r="AG17">
        <v>1.83</v>
      </c>
      <c r="AH17">
        <v>4</v>
      </c>
      <c r="AI17">
        <v>3.17</v>
      </c>
      <c r="AJ17">
        <v>0.97</v>
      </c>
      <c r="AK17">
        <v>0.83</v>
      </c>
      <c r="AL17">
        <v>24031.83737815858</v>
      </c>
      <c r="AM17">
        <v>543119.52474638389</v>
      </c>
      <c r="AN17">
        <v>73430.614211040112</v>
      </c>
      <c r="AO17">
        <v>13618.04118095653</v>
      </c>
      <c r="AP17">
        <v>22696.735301594217</v>
      </c>
      <c r="AQ17">
        <v>14167.41635911567</v>
      </c>
      <c r="AR17">
        <v>5583.6288003573518</v>
      </c>
      <c r="AS17">
        <v>2250.1190688007241</v>
      </c>
      <c r="AT17">
        <v>12417.323750048439</v>
      </c>
      <c r="AU17">
        <v>9833.8537080920523</v>
      </c>
      <c r="AV17">
        <v>3000.1587584009653</v>
      </c>
      <c r="AW17">
        <v>2583.4700419563869</v>
      </c>
      <c r="AX17">
        <v>459</v>
      </c>
      <c r="AY17">
        <v>0.8317907798210239</v>
      </c>
      <c r="AZ17">
        <v>166.25272331154684</v>
      </c>
      <c r="BA17">
        <v>21.844844616670468</v>
      </c>
      <c r="BB17" t="s">
        <v>67</v>
      </c>
      <c r="BC17">
        <v>24.087747323933034</v>
      </c>
      <c r="BD17">
        <v>28.55309996100679</v>
      </c>
      <c r="BE17">
        <v>24.064783926252268</v>
      </c>
      <c r="BF17" t="s">
        <v>67</v>
      </c>
      <c r="BG17">
        <v>23.332654256538238</v>
      </c>
      <c r="BH17">
        <f t="shared" si="1"/>
        <v>2.2429027072625658</v>
      </c>
    </row>
    <row r="18" spans="1:60" x14ac:dyDescent="0.2">
      <c r="A18">
        <v>3</v>
      </c>
      <c r="B18" t="s">
        <v>39</v>
      </c>
      <c r="C18" t="s">
        <v>9</v>
      </c>
      <c r="D18" s="2">
        <v>23.857142857142858</v>
      </c>
      <c r="E18" t="s">
        <v>36</v>
      </c>
      <c r="F18" t="s">
        <v>20</v>
      </c>
      <c r="G18" t="s">
        <v>16</v>
      </c>
      <c r="H18" t="s">
        <v>23</v>
      </c>
      <c r="I18">
        <v>3690</v>
      </c>
      <c r="J18">
        <v>51</v>
      </c>
      <c r="K18">
        <v>2.7E-2</v>
      </c>
      <c r="L18">
        <v>2.58</v>
      </c>
      <c r="M18" s="10">
        <v>0.84711111111111115</v>
      </c>
      <c r="N18">
        <v>3.4000000000000002E-2</v>
      </c>
      <c r="O18">
        <v>0.18</v>
      </c>
      <c r="P18">
        <v>7.4999999999999997E-2</v>
      </c>
      <c r="Q18">
        <v>4.2000000000000003E-2</v>
      </c>
      <c r="R18">
        <v>0.03</v>
      </c>
      <c r="S18">
        <v>0.17</v>
      </c>
      <c r="T18">
        <v>3.7999999999999999E-2</v>
      </c>
      <c r="U18">
        <v>7.5999999999999998E-2</v>
      </c>
      <c r="V18">
        <v>0.16</v>
      </c>
      <c r="W18">
        <v>4.5999999999999999E-2</v>
      </c>
      <c r="X18">
        <v>1.2E-2</v>
      </c>
      <c r="Y18" s="3">
        <v>7.4200000000000004E-3</v>
      </c>
      <c r="Z18">
        <v>2.88</v>
      </c>
      <c r="AA18">
        <v>15.5</v>
      </c>
      <c r="AB18">
        <v>6.33</v>
      </c>
      <c r="AC18">
        <v>3.57</v>
      </c>
      <c r="AD18">
        <v>2.57</v>
      </c>
      <c r="AE18">
        <v>15.7</v>
      </c>
      <c r="AF18">
        <v>3.52</v>
      </c>
      <c r="AG18">
        <v>7.14</v>
      </c>
      <c r="AH18">
        <v>15.4</v>
      </c>
      <c r="AI18">
        <v>4.3099999999999996</v>
      </c>
      <c r="AJ18">
        <v>1.1399999999999999</v>
      </c>
      <c r="AK18">
        <v>0.69</v>
      </c>
      <c r="AL18">
        <v>18087.171342862188</v>
      </c>
      <c r="AM18">
        <v>97053.11452267514</v>
      </c>
      <c r="AN18">
        <v>39703.546850185288</v>
      </c>
      <c r="AO18">
        <v>22388.388918298926</v>
      </c>
      <c r="AP18">
        <v>16101.994000352923</v>
      </c>
      <c r="AQ18">
        <v>39131.915420575213</v>
      </c>
      <c r="AR18">
        <v>8792.2974520912667</v>
      </c>
      <c r="AS18">
        <v>9411.4733289991018</v>
      </c>
      <c r="AT18">
        <v>38388.90436828581</v>
      </c>
      <c r="AU18">
        <v>10773.660258196342</v>
      </c>
      <c r="AV18">
        <v>2848.2090337760442</v>
      </c>
      <c r="AW18">
        <v>1733.6924553419399</v>
      </c>
      <c r="AX18">
        <v>936</v>
      </c>
      <c r="AY18">
        <v>1.0511580770760287</v>
      </c>
      <c r="AZ18">
        <v>108.55448717948718</v>
      </c>
      <c r="BA18">
        <v>20.705113593192017</v>
      </c>
      <c r="BB18" t="s">
        <v>67</v>
      </c>
      <c r="BC18">
        <v>66.540043521465165</v>
      </c>
      <c r="BD18">
        <v>47.483679450572957</v>
      </c>
      <c r="BE18">
        <v>35.046728971962629</v>
      </c>
      <c r="BF18" t="s">
        <v>67</v>
      </c>
      <c r="BG18">
        <v>22.123048715271597</v>
      </c>
      <c r="BH18">
        <f t="shared" si="1"/>
        <v>45.834929928273148</v>
      </c>
    </row>
    <row r="19" spans="1:60" x14ac:dyDescent="0.2">
      <c r="A19">
        <v>3</v>
      </c>
      <c r="B19" t="s">
        <v>40</v>
      </c>
      <c r="C19" t="s">
        <v>9</v>
      </c>
      <c r="D19" s="2">
        <v>23.857142857142858</v>
      </c>
      <c r="E19" t="s">
        <v>15</v>
      </c>
      <c r="F19" t="s">
        <v>11</v>
      </c>
      <c r="G19" t="s">
        <v>16</v>
      </c>
      <c r="H19" t="s">
        <v>23</v>
      </c>
      <c r="I19">
        <v>566</v>
      </c>
      <c r="J19">
        <v>107</v>
      </c>
      <c r="K19" s="3">
        <v>9.92E-3</v>
      </c>
      <c r="L19">
        <v>0.76</v>
      </c>
      <c r="M19" s="10">
        <v>2.2757201646090532</v>
      </c>
      <c r="N19">
        <v>0.2</v>
      </c>
      <c r="O19">
        <v>0.63</v>
      </c>
      <c r="P19">
        <v>0.16</v>
      </c>
      <c r="Q19">
        <v>8.2000000000000003E-2</v>
      </c>
      <c r="R19">
        <v>3.9E-2</v>
      </c>
      <c r="S19">
        <v>0.25</v>
      </c>
      <c r="T19">
        <v>0.11</v>
      </c>
      <c r="U19">
        <v>8.1000000000000003E-2</v>
      </c>
      <c r="V19">
        <v>0.22</v>
      </c>
      <c r="W19">
        <v>6.3E-2</v>
      </c>
      <c r="X19">
        <v>1.4E-2</v>
      </c>
      <c r="Y19">
        <v>1.2E-2</v>
      </c>
      <c r="Z19">
        <v>7.66</v>
      </c>
      <c r="AA19">
        <v>24</v>
      </c>
      <c r="AB19">
        <v>5.94</v>
      </c>
      <c r="AC19">
        <v>3.13</v>
      </c>
      <c r="AD19">
        <v>1.49</v>
      </c>
      <c r="AE19">
        <v>18.7</v>
      </c>
      <c r="AF19">
        <v>7.81</v>
      </c>
      <c r="AG19">
        <v>5.99</v>
      </c>
      <c r="AH19">
        <v>16</v>
      </c>
      <c r="AI19">
        <v>4.6900000000000004</v>
      </c>
      <c r="AJ19">
        <v>1.05</v>
      </c>
      <c r="AK19">
        <v>0.88</v>
      </c>
      <c r="AL19">
        <v>71351.976218745651</v>
      </c>
      <c r="AM19">
        <v>224065.73826965812</v>
      </c>
      <c r="AN19">
        <v>55310.614658775863</v>
      </c>
      <c r="AO19">
        <v>29131.112592905152</v>
      </c>
      <c r="AP19">
        <v>13859.736387813904</v>
      </c>
      <c r="AQ19">
        <v>87300.03602441246</v>
      </c>
      <c r="AR19">
        <v>36462.665648750582</v>
      </c>
      <c r="AS19">
        <v>10039.98223719968</v>
      </c>
      <c r="AT19">
        <v>74678.344069075712</v>
      </c>
      <c r="AU19">
        <v>21864.850205457082</v>
      </c>
      <c r="AV19">
        <v>4908.4357604087327</v>
      </c>
      <c r="AW19">
        <v>4111.6117733293931</v>
      </c>
      <c r="AX19">
        <v>4073</v>
      </c>
      <c r="AY19">
        <v>20.446694211788614</v>
      </c>
      <c r="AZ19">
        <v>671.88951632703163</v>
      </c>
      <c r="BA19">
        <v>20.325203252032527</v>
      </c>
      <c r="BB19" t="s">
        <v>67</v>
      </c>
      <c r="BC19">
        <v>47.295002578583926</v>
      </c>
      <c r="BD19">
        <v>47.986817775877043</v>
      </c>
      <c r="BE19">
        <v>40.04430976088009</v>
      </c>
      <c r="BF19" t="s">
        <v>67</v>
      </c>
      <c r="BG19">
        <v>34.473757926099474</v>
      </c>
      <c r="BH19">
        <f t="shared" si="1"/>
        <v>26.969799326551399</v>
      </c>
    </row>
    <row r="20" spans="1:60" x14ac:dyDescent="0.2">
      <c r="A20">
        <v>3</v>
      </c>
      <c r="B20" t="s">
        <v>41</v>
      </c>
      <c r="C20" t="s">
        <v>9</v>
      </c>
      <c r="D20" s="2">
        <v>23.857142857142858</v>
      </c>
      <c r="E20" t="s">
        <v>36</v>
      </c>
      <c r="F20" t="s">
        <v>20</v>
      </c>
      <c r="G20" t="s">
        <v>16</v>
      </c>
      <c r="H20" t="s">
        <v>13</v>
      </c>
      <c r="I20">
        <v>2640</v>
      </c>
      <c r="J20">
        <v>34</v>
      </c>
      <c r="K20" s="3">
        <v>2.5999999999999999E-3</v>
      </c>
      <c r="L20">
        <v>1.1599999999999999</v>
      </c>
      <c r="M20" s="10">
        <v>0.9742358078602622</v>
      </c>
      <c r="N20">
        <v>1.6E-2</v>
      </c>
      <c r="O20">
        <v>0.21</v>
      </c>
      <c r="P20">
        <v>4.2999999999999997E-2</v>
      </c>
      <c r="Q20">
        <v>1.2E-2</v>
      </c>
      <c r="R20">
        <v>1.4E-2</v>
      </c>
      <c r="S20">
        <v>1.7999999999999999E-2</v>
      </c>
      <c r="T20" s="3">
        <v>5.6100000000000004E-3</v>
      </c>
      <c r="U20" s="3">
        <v>6.7400000000000003E-3</v>
      </c>
      <c r="V20">
        <v>1.6E-2</v>
      </c>
      <c r="W20">
        <v>1.2999999999999999E-2</v>
      </c>
      <c r="X20" s="3">
        <v>2.3500000000000001E-3</v>
      </c>
      <c r="Y20" s="3">
        <v>2.0500000000000002E-3</v>
      </c>
      <c r="Z20">
        <v>3.03</v>
      </c>
      <c r="AA20">
        <v>40.200000000000003</v>
      </c>
      <c r="AB20">
        <v>8.1300000000000008</v>
      </c>
      <c r="AC20">
        <v>2.36</v>
      </c>
      <c r="AD20">
        <v>2.69</v>
      </c>
      <c r="AE20">
        <v>7.71</v>
      </c>
      <c r="AF20">
        <v>2.4500000000000002</v>
      </c>
      <c r="AG20">
        <v>2.95</v>
      </c>
      <c r="AH20">
        <v>7.08</v>
      </c>
      <c r="AI20">
        <v>5.53</v>
      </c>
      <c r="AJ20">
        <v>1.03</v>
      </c>
      <c r="AK20">
        <v>0.89</v>
      </c>
      <c r="AL20">
        <v>24606.450581019821</v>
      </c>
      <c r="AM20">
        <v>326491.14520927228</v>
      </c>
      <c r="AN20">
        <v>66072.876560145814</v>
      </c>
      <c r="AO20">
        <v>19138.350451904305</v>
      </c>
      <c r="AP20">
        <v>21872.400516462065</v>
      </c>
      <c r="AQ20">
        <v>32413.665142146267</v>
      </c>
      <c r="AR20">
        <v>10294.468757591518</v>
      </c>
      <c r="AS20">
        <v>4729.8910507852925</v>
      </c>
      <c r="AT20">
        <v>29770.490731413309</v>
      </c>
      <c r="AU20">
        <v>23232.111925915993</v>
      </c>
      <c r="AV20">
        <v>4312.5477227748252</v>
      </c>
      <c r="AW20">
        <v>3756.0899520942025</v>
      </c>
      <c r="AX20">
        <v>662</v>
      </c>
      <c r="AY20">
        <v>1.119822838937043</v>
      </c>
      <c r="AZ20">
        <v>144.17069486404833</v>
      </c>
      <c r="BA20">
        <v>23.554441151888163</v>
      </c>
      <c r="BB20" t="s">
        <v>67</v>
      </c>
      <c r="BC20">
        <v>25.408485427856263</v>
      </c>
      <c r="BD20">
        <v>33.615929359379138</v>
      </c>
      <c r="BE20">
        <v>23.459981155618941</v>
      </c>
      <c r="BF20" t="s">
        <v>67</v>
      </c>
      <c r="BG20">
        <v>18.621558990552348</v>
      </c>
      <c r="BH20">
        <f t="shared" si="1"/>
        <v>1.8540442759681</v>
      </c>
    </row>
    <row r="21" spans="1:60" x14ac:dyDescent="0.2">
      <c r="A21">
        <v>3</v>
      </c>
      <c r="B21" t="s">
        <v>42</v>
      </c>
      <c r="C21" t="s">
        <v>9</v>
      </c>
      <c r="D21" s="2">
        <v>23.142857142857142</v>
      </c>
      <c r="E21" t="s">
        <v>19</v>
      </c>
      <c r="F21" t="s">
        <v>20</v>
      </c>
      <c r="G21" t="s">
        <v>12</v>
      </c>
      <c r="H21" t="s">
        <v>23</v>
      </c>
      <c r="I21">
        <v>2742</v>
      </c>
      <c r="J21">
        <v>18</v>
      </c>
      <c r="K21" s="3">
        <v>7.2900000000000005E-4</v>
      </c>
      <c r="L21">
        <v>0.36</v>
      </c>
      <c r="M21" s="10">
        <v>1.1238866396761134</v>
      </c>
      <c r="N21">
        <v>1.7999999999999999E-2</v>
      </c>
      <c r="O21">
        <v>0.25</v>
      </c>
      <c r="P21">
        <v>3.5000000000000003E-2</v>
      </c>
      <c r="Q21">
        <v>1.2999999999999999E-2</v>
      </c>
      <c r="R21" s="3">
        <v>8.2199999999999999E-3</v>
      </c>
      <c r="S21" s="3">
        <v>7.2399999999999999E-3</v>
      </c>
      <c r="T21" s="3">
        <v>2.96E-3</v>
      </c>
      <c r="U21" s="3">
        <v>2.5600000000000002E-3</v>
      </c>
      <c r="V21" s="3">
        <v>5.9199999999999999E-3</v>
      </c>
      <c r="W21" s="3">
        <v>5.6800000000000002E-3</v>
      </c>
      <c r="X21" s="3">
        <v>2.2000000000000001E-3</v>
      </c>
      <c r="Y21" s="3">
        <v>1.08E-3</v>
      </c>
      <c r="Z21">
        <v>3.92</v>
      </c>
      <c r="AA21">
        <v>53.6</v>
      </c>
      <c r="AB21">
        <v>7.6</v>
      </c>
      <c r="AC21">
        <v>2.84</v>
      </c>
      <c r="AD21">
        <v>1.77</v>
      </c>
      <c r="AE21">
        <v>3.48</v>
      </c>
      <c r="AF21">
        <v>1.42</v>
      </c>
      <c r="AG21">
        <v>1.23</v>
      </c>
      <c r="AH21">
        <v>2.84</v>
      </c>
      <c r="AI21">
        <v>2.73</v>
      </c>
      <c r="AJ21">
        <v>1.06</v>
      </c>
      <c r="AK21">
        <v>0.52</v>
      </c>
      <c r="AL21">
        <v>24325.171464605573</v>
      </c>
      <c r="AM21">
        <v>332753.49056926096</v>
      </c>
      <c r="AN21">
        <v>47164.836274884088</v>
      </c>
      <c r="AO21">
        <v>17640.391520133813</v>
      </c>
      <c r="AP21">
        <v>10955.611575662053</v>
      </c>
      <c r="AQ21">
        <v>13580.926376747653</v>
      </c>
      <c r="AR21">
        <v>5552.4229385598146</v>
      </c>
      <c r="AS21">
        <v>2025.8840451502026</v>
      </c>
      <c r="AT21">
        <v>11104.845877119629</v>
      </c>
      <c r="AU21">
        <v>10654.649422641805</v>
      </c>
      <c r="AV21">
        <v>4126.8008327133757</v>
      </c>
      <c r="AW21">
        <v>2025.8840451502026</v>
      </c>
      <c r="AX21">
        <v>562</v>
      </c>
      <c r="AY21">
        <v>0.48037603473738788</v>
      </c>
      <c r="AZ21">
        <v>89.756227758007114</v>
      </c>
      <c r="BA21">
        <v>21.30663830002786</v>
      </c>
      <c r="BB21" t="s">
        <v>67</v>
      </c>
      <c r="BC21">
        <v>25.597162299845287</v>
      </c>
      <c r="BD21">
        <v>74.936164324977057</v>
      </c>
      <c r="BE21">
        <v>21.868394917110194</v>
      </c>
      <c r="BF21" t="s">
        <v>67</v>
      </c>
      <c r="BG21">
        <v>19.194530036415497</v>
      </c>
      <c r="BH21">
        <f t="shared" si="1"/>
        <v>4.2905239998174274</v>
      </c>
    </row>
    <row r="22" spans="1:60" x14ac:dyDescent="0.2">
      <c r="A22">
        <v>3</v>
      </c>
      <c r="B22" t="s">
        <v>43</v>
      </c>
      <c r="C22" t="s">
        <v>9</v>
      </c>
      <c r="D22" s="2">
        <v>23.142857142857142</v>
      </c>
      <c r="E22" t="s">
        <v>15</v>
      </c>
      <c r="F22" t="s">
        <v>11</v>
      </c>
      <c r="G22" t="s">
        <v>16</v>
      </c>
      <c r="H22" t="s">
        <v>23</v>
      </c>
      <c r="I22">
        <v>2056</v>
      </c>
      <c r="J22">
        <v>26</v>
      </c>
      <c r="K22" s="3">
        <v>2.0999999999999999E-3</v>
      </c>
      <c r="L22">
        <v>0.73</v>
      </c>
      <c r="M22" s="10">
        <v>1.1859999999999999</v>
      </c>
      <c r="N22">
        <v>1.7000000000000001E-2</v>
      </c>
      <c r="O22">
        <v>0.31</v>
      </c>
      <c r="P22">
        <v>6.8000000000000005E-2</v>
      </c>
      <c r="Q22">
        <v>1.9E-2</v>
      </c>
      <c r="R22">
        <v>3.5999999999999997E-2</v>
      </c>
      <c r="S22">
        <v>2.1999999999999999E-2</v>
      </c>
      <c r="T22" s="3">
        <v>6.8700000000000002E-3</v>
      </c>
      <c r="U22" s="3">
        <v>7.7499999999999999E-3</v>
      </c>
      <c r="V22">
        <v>1.9E-2</v>
      </c>
      <c r="W22">
        <v>1.4999999999999999E-2</v>
      </c>
      <c r="X22" s="3">
        <v>2.3999999999999998E-3</v>
      </c>
      <c r="Y22" s="3">
        <v>1.4400000000000001E-3</v>
      </c>
      <c r="Z22">
        <v>2.21</v>
      </c>
      <c r="AA22">
        <v>40.799999999999997</v>
      </c>
      <c r="AB22">
        <v>9.0500000000000007</v>
      </c>
      <c r="AC22">
        <v>2.5299999999999998</v>
      </c>
      <c r="AD22">
        <v>4.79</v>
      </c>
      <c r="AE22">
        <v>7.26</v>
      </c>
      <c r="AF22">
        <v>2.31</v>
      </c>
      <c r="AG22">
        <v>2.61</v>
      </c>
      <c r="AH22">
        <v>6.45</v>
      </c>
      <c r="AI22">
        <v>5.1100000000000003</v>
      </c>
      <c r="AJ22">
        <v>0.81</v>
      </c>
      <c r="AK22">
        <v>0.48</v>
      </c>
      <c r="AL22">
        <v>27213.29391005358</v>
      </c>
      <c r="AM22">
        <v>502150.06619741727</v>
      </c>
      <c r="AN22">
        <v>111444.91791736228</v>
      </c>
      <c r="AO22">
        <v>31100.907325775523</v>
      </c>
      <c r="AP22">
        <v>58962.136805116097</v>
      </c>
      <c r="AQ22">
        <v>42192.691678858922</v>
      </c>
      <c r="AR22">
        <v>13439.153645858767</v>
      </c>
      <c r="AS22">
        <v>7188.3845082500384</v>
      </c>
      <c r="AT22">
        <v>37504.614825652374</v>
      </c>
      <c r="AU22">
        <v>29691.153403641463</v>
      </c>
      <c r="AV22">
        <v>4688.0768532065467</v>
      </c>
      <c r="AW22">
        <v>2812.8461119239282</v>
      </c>
      <c r="AX22">
        <v>1794</v>
      </c>
      <c r="AY22">
        <v>3.4132076115375902</v>
      </c>
      <c r="AZ22">
        <v>198.53901895206243</v>
      </c>
      <c r="BA22">
        <v>20.439994465478428</v>
      </c>
      <c r="BB22" t="s">
        <v>67</v>
      </c>
      <c r="BC22">
        <v>56.225707852731439</v>
      </c>
      <c r="BD22">
        <v>96.099420133080116</v>
      </c>
      <c r="BE22">
        <v>19.990323155669866</v>
      </c>
      <c r="BF22" t="s">
        <v>67</v>
      </c>
      <c r="BG22">
        <v>16.297843082329578</v>
      </c>
      <c r="BH22">
        <f t="shared" si="1"/>
        <v>35.785713387253011</v>
      </c>
    </row>
    <row r="23" spans="1:60" x14ac:dyDescent="0.2">
      <c r="A23">
        <v>3</v>
      </c>
      <c r="B23" t="s">
        <v>44</v>
      </c>
      <c r="C23" t="s">
        <v>9</v>
      </c>
      <c r="D23" s="2">
        <v>23.142857142857142</v>
      </c>
      <c r="E23" t="s">
        <v>10</v>
      </c>
      <c r="F23" t="s">
        <v>11</v>
      </c>
      <c r="G23" t="s">
        <v>12</v>
      </c>
      <c r="H23" t="s">
        <v>23</v>
      </c>
      <c r="I23">
        <v>2300</v>
      </c>
      <c r="J23">
        <v>12</v>
      </c>
      <c r="K23" s="3">
        <v>1.01E-3</v>
      </c>
      <c r="L23">
        <v>0.45</v>
      </c>
      <c r="M23" s="10">
        <v>1.1267782426778243</v>
      </c>
      <c r="N23" s="3">
        <v>9.8700000000000003E-3</v>
      </c>
      <c r="O23">
        <v>0.26</v>
      </c>
      <c r="P23">
        <v>5.1999999999999998E-2</v>
      </c>
      <c r="Q23">
        <v>1.2999999999999999E-2</v>
      </c>
      <c r="R23" s="3">
        <v>8.5500000000000003E-3</v>
      </c>
      <c r="S23">
        <v>1.4E-2</v>
      </c>
      <c r="T23" s="3">
        <v>4.4099999999999999E-3</v>
      </c>
      <c r="U23" s="3">
        <v>4.9899999999999996E-3</v>
      </c>
      <c r="V23">
        <v>1.2999999999999999E-2</v>
      </c>
      <c r="W23" s="3">
        <v>6.7400000000000003E-3</v>
      </c>
      <c r="X23" s="3">
        <v>2.7499999999999998E-3</v>
      </c>
      <c r="Y23" s="3">
        <v>2.0799999999999998E-3</v>
      </c>
      <c r="Z23">
        <v>1.96</v>
      </c>
      <c r="AA23">
        <v>51.6</v>
      </c>
      <c r="AB23">
        <v>10.4</v>
      </c>
      <c r="AC23">
        <v>2.56</v>
      </c>
      <c r="AD23">
        <v>1.7</v>
      </c>
      <c r="AE23">
        <v>6.26</v>
      </c>
      <c r="AF23">
        <v>1.93</v>
      </c>
      <c r="AG23">
        <v>2.1800000000000002</v>
      </c>
      <c r="AH23">
        <v>5.61</v>
      </c>
      <c r="AI23">
        <v>2.95</v>
      </c>
      <c r="AJ23">
        <v>1.2</v>
      </c>
      <c r="AK23">
        <v>0.91</v>
      </c>
      <c r="AL23">
        <v>18471.600652860256</v>
      </c>
      <c r="AM23">
        <v>486911.39320939628</v>
      </c>
      <c r="AN23">
        <v>98022.627464511752</v>
      </c>
      <c r="AO23">
        <v>24136.224853070733</v>
      </c>
      <c r="AP23">
        <v>16008.72056581222</v>
      </c>
      <c r="AQ23">
        <v>27000.531376736682</v>
      </c>
      <c r="AR23">
        <v>8319.9311800409541</v>
      </c>
      <c r="AS23">
        <v>5808.2538426701003</v>
      </c>
      <c r="AT23">
        <v>24174.894372194471</v>
      </c>
      <c r="AU23">
        <v>12715.366520439949</v>
      </c>
      <c r="AV23">
        <v>5180.3345083273871</v>
      </c>
      <c r="AW23">
        <v>3924.4958396419597</v>
      </c>
      <c r="AX23">
        <v>1702</v>
      </c>
      <c r="AY23">
        <v>1.6034969858852344</v>
      </c>
      <c r="AZ23">
        <v>81.180963572267913</v>
      </c>
      <c r="BA23">
        <v>18.395995018930584</v>
      </c>
      <c r="BB23" t="s">
        <v>67</v>
      </c>
      <c r="BC23">
        <v>21.289040389429065</v>
      </c>
      <c r="BD23">
        <v>20.565779046804447</v>
      </c>
      <c r="BE23">
        <v>20.181313504290927</v>
      </c>
      <c r="BF23" t="s">
        <v>67</v>
      </c>
      <c r="BG23">
        <v>16.297843082329578</v>
      </c>
      <c r="BH23">
        <f t="shared" si="1"/>
        <v>2.8930453704984807</v>
      </c>
    </row>
    <row r="24" spans="1:60" x14ac:dyDescent="0.2">
      <c r="A24">
        <v>3</v>
      </c>
      <c r="B24" t="s">
        <v>45</v>
      </c>
      <c r="C24" t="s">
        <v>18</v>
      </c>
      <c r="D24" s="2">
        <v>23.857142857142858</v>
      </c>
      <c r="E24" t="s">
        <v>15</v>
      </c>
      <c r="F24" t="s">
        <v>11</v>
      </c>
      <c r="G24" t="s">
        <v>16</v>
      </c>
      <c r="H24" t="s">
        <v>23</v>
      </c>
      <c r="I24">
        <v>434</v>
      </c>
      <c r="J24">
        <v>9</v>
      </c>
      <c r="K24" s="3">
        <v>7.85E-4</v>
      </c>
      <c r="L24">
        <v>0.32</v>
      </c>
      <c r="M24" s="10">
        <v>1.1065714285714285</v>
      </c>
      <c r="N24">
        <v>1.9E-2</v>
      </c>
      <c r="O24">
        <v>0.24</v>
      </c>
      <c r="P24">
        <v>4.3999999999999997E-2</v>
      </c>
      <c r="Q24">
        <v>1.6E-2</v>
      </c>
      <c r="R24">
        <v>1.4999999999999999E-2</v>
      </c>
      <c r="S24">
        <v>0.01</v>
      </c>
      <c r="T24" s="3">
        <v>4.0299999999999997E-3</v>
      </c>
      <c r="U24" s="3">
        <v>2.3999999999999998E-3</v>
      </c>
      <c r="V24" s="3">
        <v>7.8100000000000001E-3</v>
      </c>
      <c r="W24" s="3">
        <v>8.5800000000000008E-3</v>
      </c>
      <c r="X24" s="3">
        <v>1.8E-3</v>
      </c>
      <c r="Y24" s="3">
        <v>1.72E-3</v>
      </c>
      <c r="Z24">
        <v>3.43</v>
      </c>
      <c r="AA24">
        <v>43.9</v>
      </c>
      <c r="AB24">
        <v>8.11</v>
      </c>
      <c r="AC24">
        <v>2.94</v>
      </c>
      <c r="AD24">
        <v>2.78</v>
      </c>
      <c r="AE24">
        <v>4.04</v>
      </c>
      <c r="AF24">
        <v>1.61</v>
      </c>
      <c r="AG24">
        <v>0.96</v>
      </c>
      <c r="AH24">
        <v>3.12</v>
      </c>
      <c r="AI24">
        <v>3.42</v>
      </c>
      <c r="AJ24">
        <v>0.72</v>
      </c>
      <c r="AK24">
        <v>0.68</v>
      </c>
      <c r="AL24">
        <v>36796.461342412375</v>
      </c>
      <c r="AM24">
        <v>470365.29202833713</v>
      </c>
      <c r="AN24">
        <v>86907.431723197646</v>
      </c>
      <c r="AO24">
        <v>31470.657727063215</v>
      </c>
      <c r="AP24">
        <v>29776.083849452119</v>
      </c>
      <c r="AQ24">
        <v>10498.463487589572</v>
      </c>
      <c r="AR24">
        <v>4181.5913891246601</v>
      </c>
      <c r="AS24">
        <v>711.76023644675058</v>
      </c>
      <c r="AT24">
        <v>8096.2726895817877</v>
      </c>
      <c r="AU24">
        <v>8897.002955584383</v>
      </c>
      <c r="AV24">
        <v>1868.3706206727202</v>
      </c>
      <c r="AW24">
        <v>1779.4005911168765</v>
      </c>
      <c r="AX24">
        <v>1651</v>
      </c>
      <c r="AY24">
        <v>1.4094577221495095</v>
      </c>
      <c r="AZ24">
        <v>111.77165354330708</v>
      </c>
      <c r="BA24">
        <v>23.836178161280994</v>
      </c>
      <c r="BB24" t="s">
        <v>67</v>
      </c>
      <c r="BC24">
        <v>19.307933233544237</v>
      </c>
      <c r="BD24">
        <v>23.867624306612502</v>
      </c>
      <c r="BE24">
        <v>26.770480531717137</v>
      </c>
      <c r="BF24" t="s">
        <v>67</v>
      </c>
      <c r="BG24">
        <v>22.600524586824218</v>
      </c>
      <c r="BH24">
        <f t="shared" si="1"/>
        <v>-4.5282449277367576</v>
      </c>
    </row>
    <row r="25" spans="1:60" x14ac:dyDescent="0.2">
      <c r="A25">
        <v>3</v>
      </c>
      <c r="B25" t="s">
        <v>46</v>
      </c>
      <c r="C25" t="s">
        <v>18</v>
      </c>
      <c r="D25" s="2">
        <v>23.857142857142858</v>
      </c>
      <c r="E25" t="s">
        <v>25</v>
      </c>
      <c r="F25" t="s">
        <v>11</v>
      </c>
      <c r="G25" t="s">
        <v>26</v>
      </c>
      <c r="H25" t="s">
        <v>23</v>
      </c>
      <c r="I25">
        <v>1554</v>
      </c>
      <c r="J25">
        <v>10</v>
      </c>
      <c r="K25" s="3">
        <v>8.9300000000000002E-4</v>
      </c>
      <c r="L25">
        <v>0.45</v>
      </c>
      <c r="M25" s="10">
        <v>1.0294478527607362</v>
      </c>
      <c r="N25">
        <v>1.2999999999999999E-2</v>
      </c>
      <c r="O25">
        <v>0.2</v>
      </c>
      <c r="P25">
        <v>3.2000000000000001E-2</v>
      </c>
      <c r="Q25">
        <v>1.4E-2</v>
      </c>
      <c r="R25">
        <v>1.2999999999999999E-2</v>
      </c>
      <c r="S25">
        <v>0.01</v>
      </c>
      <c r="T25" s="3">
        <v>4.6899999999999997E-3</v>
      </c>
      <c r="U25" s="3">
        <v>3.1800000000000001E-3</v>
      </c>
      <c r="V25" s="3">
        <v>9.6399999999999993E-3</v>
      </c>
      <c r="W25" s="3">
        <v>8.8400000000000006E-3</v>
      </c>
      <c r="X25" s="3">
        <v>1.24E-3</v>
      </c>
      <c r="Y25" s="3">
        <v>3.4499999999999999E-3</v>
      </c>
      <c r="Z25">
        <v>2.69</v>
      </c>
      <c r="AA25">
        <v>42.3</v>
      </c>
      <c r="AB25">
        <v>6.66</v>
      </c>
      <c r="AC25">
        <v>2.86</v>
      </c>
      <c r="AD25">
        <v>2.66</v>
      </c>
      <c r="AE25">
        <v>5.1100000000000003</v>
      </c>
      <c r="AF25">
        <v>2.31</v>
      </c>
      <c r="AG25">
        <v>1.57</v>
      </c>
      <c r="AH25">
        <v>4.76</v>
      </c>
      <c r="AI25">
        <v>4.3600000000000003</v>
      </c>
      <c r="AJ25">
        <v>0.61</v>
      </c>
      <c r="AK25">
        <v>1.7</v>
      </c>
      <c r="AL25">
        <v>20539.616812908742</v>
      </c>
      <c r="AM25">
        <v>322796.29370181845</v>
      </c>
      <c r="AN25">
        <v>50808.525800353207</v>
      </c>
      <c r="AO25">
        <v>21836.855769513506</v>
      </c>
      <c r="AP25">
        <v>20323.410320141284</v>
      </c>
      <c r="AQ25">
        <v>12389.684158359225</v>
      </c>
      <c r="AR25">
        <v>5612.4210290003321</v>
      </c>
      <c r="AS25">
        <v>1588.4210459434903</v>
      </c>
      <c r="AT25">
        <v>11542.526267189363</v>
      </c>
      <c r="AU25">
        <v>10589.473639623269</v>
      </c>
      <c r="AV25">
        <v>1482.5263095472576</v>
      </c>
      <c r="AW25">
        <v>4129.8947194530747</v>
      </c>
      <c r="AX25">
        <v>1481</v>
      </c>
      <c r="AY25">
        <v>1.0971561275672415</v>
      </c>
      <c r="AZ25">
        <v>89.677245104659008</v>
      </c>
      <c r="BA25">
        <v>19.999748430837354</v>
      </c>
      <c r="BB25" t="s">
        <v>67</v>
      </c>
      <c r="BC25">
        <v>20.911686645451002</v>
      </c>
      <c r="BD25">
        <v>20.251317593489397</v>
      </c>
      <c r="BE25">
        <v>23.268990806997888</v>
      </c>
      <c r="BF25" t="s">
        <v>67</v>
      </c>
      <c r="BG25">
        <v>15.884030660317306</v>
      </c>
      <c r="BH25">
        <f t="shared" si="1"/>
        <v>0.91193821461364877</v>
      </c>
    </row>
    <row r="26" spans="1:60" x14ac:dyDescent="0.2">
      <c r="A26">
        <v>3</v>
      </c>
      <c r="B26" t="s">
        <v>47</v>
      </c>
      <c r="C26" t="s">
        <v>18</v>
      </c>
      <c r="D26" s="2">
        <v>23.857142857142858</v>
      </c>
      <c r="E26" t="s">
        <v>10</v>
      </c>
      <c r="F26" t="s">
        <v>11</v>
      </c>
      <c r="G26" t="s">
        <v>12</v>
      </c>
      <c r="H26" t="s">
        <v>23</v>
      </c>
      <c r="I26">
        <v>2679</v>
      </c>
      <c r="J26">
        <v>5</v>
      </c>
      <c r="K26" s="3">
        <v>4.28E-4</v>
      </c>
      <c r="L26">
        <v>0.32</v>
      </c>
      <c r="M26" s="10">
        <v>0.99970930232558142</v>
      </c>
      <c r="N26">
        <v>1.2999999999999999E-2</v>
      </c>
      <c r="O26">
        <v>0.14000000000000001</v>
      </c>
      <c r="P26">
        <v>2.8000000000000001E-2</v>
      </c>
      <c r="Q26">
        <v>1.4999999999999999E-2</v>
      </c>
      <c r="R26">
        <v>1.0999999999999999E-2</v>
      </c>
      <c r="S26" s="3">
        <v>7.3699999999999998E-3</v>
      </c>
      <c r="T26" s="3">
        <v>2.1199999999999999E-3</v>
      </c>
      <c r="U26" s="3">
        <v>2.1199999999999999E-3</v>
      </c>
      <c r="V26" s="3">
        <v>6.94E-3</v>
      </c>
      <c r="W26" s="3">
        <v>4.8300000000000001E-3</v>
      </c>
      <c r="X26" s="3">
        <v>1.3600000000000001E-3</v>
      </c>
      <c r="Y26" s="3">
        <v>2.7899999999999999E-3</v>
      </c>
      <c r="Z26">
        <v>3.46</v>
      </c>
      <c r="AA26">
        <v>36.4</v>
      </c>
      <c r="AB26">
        <v>7.54</v>
      </c>
      <c r="AC26">
        <v>4.05</v>
      </c>
      <c r="AD26">
        <v>2.81</v>
      </c>
      <c r="AE26">
        <v>5.28</v>
      </c>
      <c r="AF26">
        <v>1.52</v>
      </c>
      <c r="AG26">
        <v>1.52</v>
      </c>
      <c r="AH26">
        <v>4.97</v>
      </c>
      <c r="AI26">
        <v>3.46</v>
      </c>
      <c r="AJ26">
        <v>0.97</v>
      </c>
      <c r="AK26">
        <v>2</v>
      </c>
      <c r="AL26">
        <v>22242.218196600948</v>
      </c>
      <c r="AM26">
        <v>233433.18107323765</v>
      </c>
      <c r="AN26">
        <v>48448.39607180404</v>
      </c>
      <c r="AO26">
        <v>25985.95789305853</v>
      </c>
      <c r="AP26">
        <v>18058.038535854233</v>
      </c>
      <c r="AQ26">
        <v>8011.5200132604468</v>
      </c>
      <c r="AR26">
        <v>2302.1609233507033</v>
      </c>
      <c r="AS26">
        <v>1012.9508062743095</v>
      </c>
      <c r="AT26">
        <v>7551.0878285903063</v>
      </c>
      <c r="AU26">
        <v>5248.926905239603</v>
      </c>
      <c r="AV26">
        <v>1473.3829909444501</v>
      </c>
      <c r="AW26">
        <v>3038.852418822928</v>
      </c>
      <c r="AX26">
        <v>1181</v>
      </c>
      <c r="AY26">
        <v>1.4470884892788884</v>
      </c>
      <c r="AZ26">
        <v>140.53005927180357</v>
      </c>
      <c r="BA26">
        <v>23.616055143960452</v>
      </c>
      <c r="BB26" t="s">
        <v>67</v>
      </c>
      <c r="BC26">
        <v>19.748179268185311</v>
      </c>
      <c r="BD26">
        <v>23.205327357457538</v>
      </c>
      <c r="BE26" t="s">
        <v>67</v>
      </c>
      <c r="BF26" t="s">
        <v>67</v>
      </c>
      <c r="BG26">
        <v>18.398736917161127</v>
      </c>
      <c r="BH26">
        <f t="shared" si="1"/>
        <v>-3.867875875775141</v>
      </c>
    </row>
    <row r="27" spans="1:60" x14ac:dyDescent="0.2">
      <c r="A27">
        <v>3</v>
      </c>
      <c r="B27" t="s">
        <v>48</v>
      </c>
      <c r="C27" t="s">
        <v>18</v>
      </c>
      <c r="D27" s="2">
        <v>23.857142857142858</v>
      </c>
      <c r="E27" t="s">
        <v>36</v>
      </c>
      <c r="F27" t="s">
        <v>20</v>
      </c>
      <c r="G27" t="s">
        <v>16</v>
      </c>
      <c r="H27" t="s">
        <v>23</v>
      </c>
      <c r="I27">
        <v>1399</v>
      </c>
      <c r="J27">
        <v>13</v>
      </c>
      <c r="K27" s="3">
        <v>1.15E-3</v>
      </c>
      <c r="L27">
        <v>0.59</v>
      </c>
      <c r="M27" s="10">
        <v>1.0062686567164179</v>
      </c>
      <c r="N27">
        <v>2.3E-2</v>
      </c>
      <c r="O27">
        <v>0.15</v>
      </c>
      <c r="P27">
        <v>2.7E-2</v>
      </c>
      <c r="Q27">
        <v>1.4E-2</v>
      </c>
      <c r="R27">
        <v>1.2E-2</v>
      </c>
      <c r="S27">
        <v>1.4E-2</v>
      </c>
      <c r="T27" s="3">
        <v>4.62E-3</v>
      </c>
      <c r="U27" s="3">
        <v>3.6600000000000001E-3</v>
      </c>
      <c r="V27">
        <v>1.2E-2</v>
      </c>
      <c r="W27" s="3">
        <v>7.5900000000000004E-3</v>
      </c>
      <c r="X27" s="3">
        <v>2.7899999999999999E-3</v>
      </c>
      <c r="Y27" s="3">
        <v>3.14E-3</v>
      </c>
      <c r="Z27">
        <v>4.66</v>
      </c>
      <c r="AA27">
        <v>31.3</v>
      </c>
      <c r="AB27">
        <v>5.5</v>
      </c>
      <c r="AC27">
        <v>2.78</v>
      </c>
      <c r="AD27">
        <v>2.4700000000000002</v>
      </c>
      <c r="AE27">
        <v>6.94</v>
      </c>
      <c r="AF27">
        <v>2.27</v>
      </c>
      <c r="AG27">
        <v>1.8</v>
      </c>
      <c r="AH27">
        <v>5.87</v>
      </c>
      <c r="AI27">
        <v>3.73</v>
      </c>
      <c r="AJ27">
        <v>1.37</v>
      </c>
      <c r="AK27">
        <v>1.54</v>
      </c>
      <c r="AL27">
        <v>45985.430830110941</v>
      </c>
      <c r="AM27">
        <v>308485.59848532756</v>
      </c>
      <c r="AN27">
        <v>54197.114906916468</v>
      </c>
      <c r="AO27">
        <v>27372.280256018417</v>
      </c>
      <c r="AP27">
        <v>24361.329427856392</v>
      </c>
      <c r="AQ27">
        <v>17148.68905814398</v>
      </c>
      <c r="AR27">
        <v>5610.3735807508083</v>
      </c>
      <c r="AS27">
        <v>1270.2732635662207</v>
      </c>
      <c r="AT27">
        <v>14502.286425714354</v>
      </c>
      <c r="AU27">
        <v>9209.4811608551008</v>
      </c>
      <c r="AV27">
        <v>3387.3953695099221</v>
      </c>
      <c r="AW27">
        <v>3810.8197906986625</v>
      </c>
      <c r="AX27">
        <v>1027</v>
      </c>
      <c r="AY27">
        <v>1.0416413770938322</v>
      </c>
      <c r="AZ27">
        <v>122.82375851996105</v>
      </c>
      <c r="BA27">
        <v>22.861347656004334</v>
      </c>
      <c r="BB27" t="s">
        <v>67</v>
      </c>
      <c r="BC27">
        <v>27.578269455730126</v>
      </c>
      <c r="BD27">
        <v>25.083399118897866</v>
      </c>
      <c r="BE27">
        <v>31.736229595864426</v>
      </c>
      <c r="BF27" t="s">
        <v>67</v>
      </c>
      <c r="BG27">
        <v>19.608342458427767</v>
      </c>
      <c r="BH27">
        <f t="shared" si="1"/>
        <v>4.7169217997257924</v>
      </c>
    </row>
    <row r="28" spans="1:60" x14ac:dyDescent="0.2">
      <c r="A28">
        <v>4</v>
      </c>
      <c r="B28" t="s">
        <v>49</v>
      </c>
      <c r="C28" t="s">
        <v>18</v>
      </c>
      <c r="D28" s="2">
        <v>25.142857142857142</v>
      </c>
      <c r="E28" t="s">
        <v>10</v>
      </c>
      <c r="F28" t="s">
        <v>11</v>
      </c>
      <c r="G28" t="s">
        <v>12</v>
      </c>
      <c r="H28" t="s">
        <v>13</v>
      </c>
      <c r="I28" t="s">
        <v>67</v>
      </c>
      <c r="J28" t="s">
        <v>67</v>
      </c>
      <c r="K28" t="s">
        <v>67</v>
      </c>
      <c r="L28" t="s">
        <v>67</v>
      </c>
      <c r="M28" s="10">
        <v>1.3005747126436782</v>
      </c>
      <c r="N28">
        <v>2.1999999999999999E-2</v>
      </c>
      <c r="O28">
        <v>0.32</v>
      </c>
      <c r="P28">
        <v>3.9E-2</v>
      </c>
      <c r="Q28">
        <v>2.8000000000000001E-2</v>
      </c>
      <c r="R28">
        <v>2.4E-2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>
        <v>2.9</v>
      </c>
      <c r="AA28">
        <v>41.8</v>
      </c>
      <c r="AB28">
        <v>5.2</v>
      </c>
      <c r="AC28">
        <v>3.65</v>
      </c>
      <c r="AD28">
        <v>3.11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>
        <v>42128.514397040948</v>
      </c>
      <c r="AM28">
        <v>606771.84045234509</v>
      </c>
      <c r="AN28">
        <v>75467.62650980716</v>
      </c>
      <c r="AO28">
        <v>53039.496543037159</v>
      </c>
      <c r="AP28">
        <v>45159.342770928786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>
        <v>1178</v>
      </c>
      <c r="AY28">
        <v>1.1547379477987789</v>
      </c>
      <c r="AZ28">
        <v>136.34210526315789</v>
      </c>
      <c r="BA28">
        <v>21.486414219868095</v>
      </c>
      <c r="BB28">
        <v>28.630213418886875</v>
      </c>
      <c r="BC28">
        <v>21.516250523085507</v>
      </c>
      <c r="BD28">
        <v>29.920491002929282</v>
      </c>
      <c r="BE28">
        <v>22.946017575673036</v>
      </c>
      <c r="BF28">
        <v>25.979913516529507</v>
      </c>
      <c r="BG28">
        <v>21.910695742471439</v>
      </c>
      <c r="BH28">
        <f t="shared" si="0"/>
        <v>7.1437991990187797</v>
      </c>
    </row>
    <row r="29" spans="1:60" x14ac:dyDescent="0.2">
      <c r="A29">
        <v>4</v>
      </c>
      <c r="B29" t="s">
        <v>50</v>
      </c>
      <c r="C29" t="s">
        <v>18</v>
      </c>
      <c r="D29" s="2">
        <v>25.142857142857142</v>
      </c>
      <c r="E29" t="s">
        <v>15</v>
      </c>
      <c r="F29" t="s">
        <v>11</v>
      </c>
      <c r="G29" t="s">
        <v>16</v>
      </c>
      <c r="H29" t="s">
        <v>13</v>
      </c>
      <c r="I29" t="s">
        <v>67</v>
      </c>
      <c r="J29" t="s">
        <v>67</v>
      </c>
      <c r="K29" t="s">
        <v>67</v>
      </c>
      <c r="L29" t="s">
        <v>67</v>
      </c>
      <c r="M29" s="10">
        <v>1.0862170087976539</v>
      </c>
      <c r="N29">
        <v>2.9000000000000001E-2</v>
      </c>
      <c r="O29">
        <v>0.4</v>
      </c>
      <c r="P29">
        <v>3.9E-2</v>
      </c>
      <c r="Q29">
        <v>3.7999999999999999E-2</v>
      </c>
      <c r="R29">
        <v>0.03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>
        <v>2.68</v>
      </c>
      <c r="AA29">
        <v>36.6</v>
      </c>
      <c r="AB29">
        <v>3.57</v>
      </c>
      <c r="AC29">
        <v>3.44</v>
      </c>
      <c r="AD29">
        <v>2.75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>
        <v>49486.803519061585</v>
      </c>
      <c r="AM29">
        <v>675403.22580645164</v>
      </c>
      <c r="AN29">
        <v>65982.404692082113</v>
      </c>
      <c r="AO29">
        <v>63538.611925708705</v>
      </c>
      <c r="AP29">
        <v>50708.699902248292</v>
      </c>
      <c r="AQ29" t="s">
        <v>67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>
        <v>1194</v>
      </c>
      <c r="AY29">
        <v>1.1796742736295847</v>
      </c>
      <c r="AZ29">
        <v>116.72948073701842</v>
      </c>
      <c r="BA29">
        <v>16.584328605261149</v>
      </c>
      <c r="BB29">
        <v>29.711256800111588</v>
      </c>
      <c r="BC29">
        <v>21.934718928720883</v>
      </c>
      <c r="BD29">
        <v>28.142000278978937</v>
      </c>
      <c r="BE29">
        <v>47.007950899707076</v>
      </c>
      <c r="BF29">
        <v>22.980889942809316</v>
      </c>
      <c r="BG29">
        <v>19.245413637937002</v>
      </c>
      <c r="BH29">
        <f t="shared" si="0"/>
        <v>13.126928194850439</v>
      </c>
    </row>
    <row r="30" spans="1:60" x14ac:dyDescent="0.2">
      <c r="A30">
        <v>4</v>
      </c>
      <c r="B30" t="s">
        <v>51</v>
      </c>
      <c r="C30" t="s">
        <v>9</v>
      </c>
      <c r="D30" s="2">
        <v>24.714285714285715</v>
      </c>
      <c r="E30" t="s">
        <v>10</v>
      </c>
      <c r="F30" t="s">
        <v>11</v>
      </c>
      <c r="G30" t="s">
        <v>12</v>
      </c>
      <c r="H30" t="s">
        <v>23</v>
      </c>
      <c r="I30" t="s">
        <v>67</v>
      </c>
      <c r="J30" t="s">
        <v>67</v>
      </c>
      <c r="K30" t="s">
        <v>67</v>
      </c>
      <c r="L30" t="s">
        <v>67</v>
      </c>
      <c r="M30" s="10">
        <v>1.8254032258064514</v>
      </c>
      <c r="N30">
        <v>5.6000000000000001E-2</v>
      </c>
      <c r="O30">
        <v>0.56000000000000005</v>
      </c>
      <c r="P30">
        <v>6.9000000000000006E-2</v>
      </c>
      <c r="Q30">
        <v>0.04</v>
      </c>
      <c r="R30">
        <v>0.02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>
        <v>4.26</v>
      </c>
      <c r="AA30">
        <v>42.8</v>
      </c>
      <c r="AB30">
        <v>5.28</v>
      </c>
      <c r="AC30">
        <v>3.07</v>
      </c>
      <c r="AD30">
        <v>1.52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>
        <v>36596.349072030862</v>
      </c>
      <c r="AM30">
        <v>367732.08751561126</v>
      </c>
      <c r="AN30">
        <v>45439.3330485439</v>
      </c>
      <c r="AO30">
        <v>26392.906022208132</v>
      </c>
      <c r="AP30">
        <v>13060.407103773097</v>
      </c>
      <c r="AQ30" t="s">
        <v>67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>
        <v>6264</v>
      </c>
      <c r="AY30">
        <v>9.0947232330745251</v>
      </c>
      <c r="AZ30">
        <v>172.4058109833972</v>
      </c>
      <c r="BA30">
        <v>21.830101827312035</v>
      </c>
      <c r="BB30">
        <v>30.234342307155814</v>
      </c>
      <c r="BC30">
        <v>27.305063467708187</v>
      </c>
      <c r="BD30">
        <v>31.768726461152188</v>
      </c>
      <c r="BE30">
        <v>29.885618635793001</v>
      </c>
      <c r="BF30">
        <v>22.667038638582788</v>
      </c>
      <c r="BG30">
        <v>22.914503288335066</v>
      </c>
      <c r="BH30">
        <f t="shared" si="0"/>
        <v>8.4042404798437786</v>
      </c>
    </row>
    <row r="31" spans="1:60" x14ac:dyDescent="0.2">
      <c r="A31">
        <v>4</v>
      </c>
      <c r="B31" t="s">
        <v>52</v>
      </c>
      <c r="C31" t="s">
        <v>9</v>
      </c>
      <c r="D31" s="2">
        <v>24.714285714285715</v>
      </c>
      <c r="E31" t="s">
        <v>10</v>
      </c>
      <c r="F31" t="s">
        <v>11</v>
      </c>
      <c r="G31" t="s">
        <v>12</v>
      </c>
      <c r="H31" t="s">
        <v>23</v>
      </c>
      <c r="I31" t="s">
        <v>67</v>
      </c>
      <c r="J31" t="s">
        <v>67</v>
      </c>
      <c r="K31" t="s">
        <v>67</v>
      </c>
      <c r="L31" t="s">
        <v>67</v>
      </c>
      <c r="M31" s="10">
        <v>1.0468619246861925</v>
      </c>
      <c r="N31">
        <v>2.3E-2</v>
      </c>
      <c r="O31">
        <v>0.38</v>
      </c>
      <c r="P31">
        <v>4.8000000000000001E-2</v>
      </c>
      <c r="Q31">
        <v>2.5999999999999999E-2</v>
      </c>
      <c r="R31">
        <v>0.02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>
        <v>2.61</v>
      </c>
      <c r="AA31">
        <v>43.9</v>
      </c>
      <c r="AB31">
        <v>5.58</v>
      </c>
      <c r="AC31">
        <v>2.99</v>
      </c>
      <c r="AD31">
        <v>2.34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>
        <v>37287.315813976777</v>
      </c>
      <c r="AM31">
        <v>626782.02296827629</v>
      </c>
      <c r="AN31">
        <v>79546.273736483796</v>
      </c>
      <c r="AO31">
        <v>42614.075215973462</v>
      </c>
      <c r="AP31">
        <v>33381.025585845877</v>
      </c>
      <c r="AQ31" t="s">
        <v>67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>
        <v>1681</v>
      </c>
      <c r="AY31">
        <v>3.59711175051073</v>
      </c>
      <c r="AZ31">
        <v>196.96311719214754</v>
      </c>
      <c r="BA31">
        <v>22.80652810712791</v>
      </c>
      <c r="BB31">
        <v>26.014785883665784</v>
      </c>
      <c r="BC31">
        <v>29.432277863021337</v>
      </c>
      <c r="BD31">
        <v>28.734830520295713</v>
      </c>
      <c r="BE31">
        <v>26.154275352210909</v>
      </c>
      <c r="BF31">
        <v>26.548978885427481</v>
      </c>
      <c r="BG31">
        <v>22.083766008999657</v>
      </c>
      <c r="BH31">
        <f t="shared" si="0"/>
        <v>3.2082577765378737</v>
      </c>
    </row>
    <row r="32" spans="1:60" x14ac:dyDescent="0.2">
      <c r="A32">
        <v>4</v>
      </c>
      <c r="B32" t="s">
        <v>53</v>
      </c>
      <c r="C32" t="s">
        <v>18</v>
      </c>
      <c r="D32" s="2">
        <v>24.571428571428573</v>
      </c>
      <c r="E32" t="s">
        <v>36</v>
      </c>
      <c r="F32" t="s">
        <v>20</v>
      </c>
      <c r="G32" t="s">
        <v>16</v>
      </c>
      <c r="H32" t="s">
        <v>23</v>
      </c>
      <c r="I32" t="s">
        <v>67</v>
      </c>
      <c r="J32" t="s">
        <v>67</v>
      </c>
      <c r="K32" t="s">
        <v>67</v>
      </c>
      <c r="L32" t="s">
        <v>67</v>
      </c>
      <c r="M32" s="10">
        <v>1.0695783132530119</v>
      </c>
      <c r="N32">
        <v>2.7E-2</v>
      </c>
      <c r="O32">
        <v>0.32</v>
      </c>
      <c r="P32">
        <v>2.5000000000000001E-2</v>
      </c>
      <c r="Q32">
        <v>2.9000000000000001E-2</v>
      </c>
      <c r="R32">
        <v>3.3000000000000002E-2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>
        <v>3.21</v>
      </c>
      <c r="AA32">
        <v>37.5</v>
      </c>
      <c r="AB32">
        <v>2.95</v>
      </c>
      <c r="AC32">
        <v>3.37</v>
      </c>
      <c r="AD32">
        <v>3.84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>
        <v>36758.712613991964</v>
      </c>
      <c r="AM32">
        <v>429917.11709407991</v>
      </c>
      <c r="AN32">
        <v>33828.670304181011</v>
      </c>
      <c r="AO32">
        <v>38623.284992962566</v>
      </c>
      <c r="AP32">
        <v>43950.634647164305</v>
      </c>
      <c r="AQ32" t="s">
        <v>67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>
        <v>2231</v>
      </c>
      <c r="AY32">
        <v>1.6141767765696862</v>
      </c>
      <c r="AZ32">
        <v>86.060062752129085</v>
      </c>
      <c r="BA32">
        <v>24.863997768168506</v>
      </c>
      <c r="BB32">
        <v>24.131678058306608</v>
      </c>
      <c r="BC32">
        <v>29.292788394476212</v>
      </c>
      <c r="BD32">
        <v>24.375784628260561</v>
      </c>
      <c r="BE32">
        <v>31.559492258334497</v>
      </c>
      <c r="BF32">
        <v>32.606438213914842</v>
      </c>
      <c r="BG32">
        <v>28.279681550709586</v>
      </c>
      <c r="BH32">
        <f t="shared" si="0"/>
        <v>-0.73231970986189765</v>
      </c>
    </row>
    <row r="33" spans="1:60" x14ac:dyDescent="0.2">
      <c r="A33">
        <v>4</v>
      </c>
      <c r="B33" t="s">
        <v>54</v>
      </c>
      <c r="C33" t="s">
        <v>18</v>
      </c>
      <c r="D33" s="2">
        <v>24.571428571428573</v>
      </c>
      <c r="E33" t="s">
        <v>10</v>
      </c>
      <c r="F33" t="s">
        <v>11</v>
      </c>
      <c r="G33" t="s">
        <v>12</v>
      </c>
      <c r="H33" t="s">
        <v>23</v>
      </c>
      <c r="I33" t="s">
        <v>67</v>
      </c>
      <c r="J33" t="s">
        <v>67</v>
      </c>
      <c r="K33" t="s">
        <v>67</v>
      </c>
      <c r="L33" t="s">
        <v>67</v>
      </c>
      <c r="M33" s="10">
        <v>1.2766081871345027</v>
      </c>
      <c r="N33">
        <v>2.7E-2</v>
      </c>
      <c r="O33">
        <v>0.35</v>
      </c>
      <c r="P33">
        <v>4.2999999999999997E-2</v>
      </c>
      <c r="Q33">
        <v>2.7E-2</v>
      </c>
      <c r="R33">
        <v>1.6E-2</v>
      </c>
      <c r="S33" t="s">
        <v>67</v>
      </c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>
        <v>3.14</v>
      </c>
      <c r="AA33">
        <v>39.799999999999997</v>
      </c>
      <c r="AB33">
        <v>4.9000000000000004</v>
      </c>
      <c r="AC33">
        <v>3.14</v>
      </c>
      <c r="AD33">
        <v>1.89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>
        <v>33897.693874975201</v>
      </c>
      <c r="AM33">
        <v>429370.78908301919</v>
      </c>
      <c r="AN33">
        <v>52890.018812018039</v>
      </c>
      <c r="AO33">
        <v>33897.693874975201</v>
      </c>
      <c r="AP33">
        <v>20434.779995552424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>
        <v>5769</v>
      </c>
      <c r="AY33">
        <v>5.3720262468756168</v>
      </c>
      <c r="AZ33">
        <v>136.21875541688334</v>
      </c>
      <c r="BA33">
        <v>24.096805691170314</v>
      </c>
      <c r="BB33">
        <v>31.315385688380534</v>
      </c>
      <c r="BC33">
        <v>34.663132933463515</v>
      </c>
      <c r="BD33">
        <v>32.012833031106155</v>
      </c>
      <c r="BE33">
        <v>26.816850327800246</v>
      </c>
      <c r="BF33">
        <v>24.541363793700238</v>
      </c>
      <c r="BG33">
        <v>27.10280373831775</v>
      </c>
      <c r="BH33">
        <f t="shared" si="0"/>
        <v>7.2185799972102203</v>
      </c>
    </row>
    <row r="34" spans="1:60" x14ac:dyDescent="0.2">
      <c r="A34">
        <v>4</v>
      </c>
      <c r="B34" t="s">
        <v>55</v>
      </c>
      <c r="C34" t="s">
        <v>18</v>
      </c>
      <c r="D34" s="2">
        <v>24.571428571428573</v>
      </c>
      <c r="E34" t="s">
        <v>10</v>
      </c>
      <c r="F34" t="s">
        <v>11</v>
      </c>
      <c r="G34" t="s">
        <v>12</v>
      </c>
      <c r="H34" t="s">
        <v>23</v>
      </c>
      <c r="I34" t="s">
        <v>67</v>
      </c>
      <c r="J34" t="s">
        <v>67</v>
      </c>
      <c r="K34" t="s">
        <v>67</v>
      </c>
      <c r="L34" t="s">
        <v>67</v>
      </c>
      <c r="M34" s="10">
        <v>1.152785145888594</v>
      </c>
      <c r="N34">
        <v>2.8000000000000001E-2</v>
      </c>
      <c r="O34">
        <v>0.3</v>
      </c>
      <c r="P34">
        <v>3.3000000000000002E-2</v>
      </c>
      <c r="Q34">
        <v>2.3E-2</v>
      </c>
      <c r="R34">
        <v>2.5000000000000001E-2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>
        <v>3.52</v>
      </c>
      <c r="AA34">
        <v>36.700000000000003</v>
      </c>
      <c r="AB34">
        <v>4.0599999999999996</v>
      </c>
      <c r="AC34">
        <v>2.91</v>
      </c>
      <c r="AD34">
        <v>3.13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>
        <v>29214.03427780022</v>
      </c>
      <c r="AM34">
        <v>304763.69092273072</v>
      </c>
      <c r="AN34">
        <v>33722.372900917537</v>
      </c>
      <c r="AO34">
        <v>24164.695019908824</v>
      </c>
      <c r="AP34">
        <v>25968.03046915575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s="11">
        <f t="shared" ref="BA34:BG34" si="2">BA33/2.14</f>
        <v>11.26018957531323</v>
      </c>
      <c r="BB34" s="11">
        <f t="shared" si="2"/>
        <v>14.63335779830866</v>
      </c>
      <c r="BC34" s="11">
        <f t="shared" si="2"/>
        <v>16.197725669842765</v>
      </c>
      <c r="BD34" s="11">
        <f t="shared" si="2"/>
        <v>14.959267771544932</v>
      </c>
      <c r="BE34" s="11">
        <f t="shared" si="2"/>
        <v>12.531238470934694</v>
      </c>
      <c r="BF34" s="11">
        <f t="shared" si="2"/>
        <v>11.467927006401981</v>
      </c>
      <c r="BG34" s="11">
        <f t="shared" si="2"/>
        <v>12.664861559961565</v>
      </c>
      <c r="BH34">
        <f t="shared" si="0"/>
        <v>3.3731682229954298</v>
      </c>
    </row>
    <row r="35" spans="1:60" x14ac:dyDescent="0.2">
      <c r="A35">
        <v>4</v>
      </c>
      <c r="B35" t="s">
        <v>56</v>
      </c>
      <c r="C35" t="s">
        <v>9</v>
      </c>
      <c r="D35" s="2">
        <v>25.857142857142858</v>
      </c>
      <c r="E35" t="s">
        <v>10</v>
      </c>
      <c r="F35" t="s">
        <v>11</v>
      </c>
      <c r="G35" t="s">
        <v>12</v>
      </c>
      <c r="H35" t="s">
        <v>23</v>
      </c>
      <c r="I35" t="s">
        <v>67</v>
      </c>
      <c r="J35" t="s">
        <v>67</v>
      </c>
      <c r="K35" t="s">
        <v>67</v>
      </c>
      <c r="L35" t="s">
        <v>67</v>
      </c>
      <c r="M35" s="10">
        <v>1.1970909090909092</v>
      </c>
      <c r="N35">
        <v>1.2999999999999999E-2</v>
      </c>
      <c r="O35">
        <v>0.41</v>
      </c>
      <c r="P35">
        <v>5.7000000000000002E-2</v>
      </c>
      <c r="Q35">
        <v>0.02</v>
      </c>
      <c r="R35">
        <v>2.4E-2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>
        <v>1.53</v>
      </c>
      <c r="AA35">
        <v>46.8</v>
      </c>
      <c r="AB35">
        <v>6.53</v>
      </c>
      <c r="AC35">
        <v>2.35</v>
      </c>
      <c r="AD35">
        <v>2.73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>
        <v>17429.297541894906</v>
      </c>
      <c r="AM35">
        <v>532106.20142608567</v>
      </c>
      <c r="AN35">
        <v>74228.302472540658</v>
      </c>
      <c r="AO35">
        <v>26656.572711133387</v>
      </c>
      <c r="AP35">
        <v>30962.634456778011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>
        <v>2956</v>
      </c>
      <c r="AY35">
        <v>2.9407952242222368</v>
      </c>
      <c r="AZ35">
        <v>96.24391069012178</v>
      </c>
      <c r="BA35">
        <v>21.237271585995259</v>
      </c>
      <c r="BB35">
        <v>18.029013809457382</v>
      </c>
      <c r="BC35">
        <v>24.93374250244106</v>
      </c>
      <c r="BD35">
        <v>37.766773608592551</v>
      </c>
      <c r="BE35">
        <v>39.510391965406619</v>
      </c>
      <c r="BF35">
        <v>25.475943232952574</v>
      </c>
      <c r="BG35">
        <v>23.710626514364822</v>
      </c>
      <c r="BH35">
        <f t="shared" si="0"/>
        <v>-3.2082577765378772</v>
      </c>
    </row>
    <row r="36" spans="1:60" x14ac:dyDescent="0.2">
      <c r="A36">
        <v>4</v>
      </c>
      <c r="B36" t="s">
        <v>57</v>
      </c>
      <c r="C36" t="s">
        <v>9</v>
      </c>
      <c r="D36" s="2">
        <v>25.857142857142858</v>
      </c>
      <c r="E36" t="s">
        <v>25</v>
      </c>
      <c r="F36" t="s">
        <v>11</v>
      </c>
      <c r="G36" t="s">
        <v>26</v>
      </c>
      <c r="H36" t="s">
        <v>23</v>
      </c>
      <c r="I36" t="s">
        <v>67</v>
      </c>
      <c r="J36" t="s">
        <v>67</v>
      </c>
      <c r="K36" t="s">
        <v>67</v>
      </c>
      <c r="L36" t="s">
        <v>67</v>
      </c>
      <c r="M36" s="10">
        <v>1.2394833948339483</v>
      </c>
      <c r="N36">
        <v>0.02</v>
      </c>
      <c r="O36">
        <v>0.42</v>
      </c>
      <c r="P36">
        <v>4.8000000000000001E-2</v>
      </c>
      <c r="Q36">
        <v>2.9000000000000001E-2</v>
      </c>
      <c r="R36">
        <v>2.5000000000000001E-2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>
        <v>2.02</v>
      </c>
      <c r="AA36">
        <v>43</v>
      </c>
      <c r="AB36">
        <v>4.8899999999999997</v>
      </c>
      <c r="AC36">
        <v>2.99</v>
      </c>
      <c r="AD36">
        <v>2.5299999999999998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>
        <v>92369.279856217036</v>
      </c>
      <c r="AM36">
        <v>1968718.1257490327</v>
      </c>
      <c r="AN36">
        <v>223878.0850752379</v>
      </c>
      <c r="AO36">
        <v>136988.33876981339</v>
      </c>
      <c r="AP36">
        <v>115852.99507389934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>
        <v>3424</v>
      </c>
      <c r="AY36">
        <v>7.8734287451787663</v>
      </c>
      <c r="AZ36">
        <v>210.91880841121494</v>
      </c>
      <c r="BA36">
        <v>26.049658250802061</v>
      </c>
      <c r="BB36">
        <v>22.074208397266005</v>
      </c>
      <c r="BC36">
        <v>29.571767331566466</v>
      </c>
      <c r="BD36">
        <v>40.765797182312738</v>
      </c>
      <c r="BE36">
        <v>47.46129167247873</v>
      </c>
      <c r="BF36">
        <v>24.402907580477663</v>
      </c>
      <c r="BG36">
        <v>21.218414676358599</v>
      </c>
      <c r="BH36">
        <f t="shared" si="0"/>
        <v>-3.9754498535360554</v>
      </c>
    </row>
    <row r="37" spans="1:60" x14ac:dyDescent="0.2">
      <c r="A37">
        <v>5</v>
      </c>
      <c r="B37" t="s">
        <v>58</v>
      </c>
      <c r="C37" t="s">
        <v>18</v>
      </c>
      <c r="D37" s="2">
        <v>21</v>
      </c>
      <c r="E37" t="s">
        <v>10</v>
      </c>
      <c r="F37" t="s">
        <v>11</v>
      </c>
      <c r="G37" t="s">
        <v>12</v>
      </c>
      <c r="H37" t="s">
        <v>13</v>
      </c>
      <c r="I37">
        <v>-1616</v>
      </c>
      <c r="J37">
        <v>19</v>
      </c>
      <c r="K37" s="3">
        <v>2.97E-3</v>
      </c>
      <c r="L37">
        <v>0.3</v>
      </c>
      <c r="M37" s="10">
        <v>1.0524926686217009</v>
      </c>
      <c r="N37">
        <v>0.11</v>
      </c>
      <c r="O37">
        <v>0.67</v>
      </c>
      <c r="P37">
        <v>9.6000000000000002E-2</v>
      </c>
      <c r="Q37">
        <v>2.8000000000000001E-2</v>
      </c>
      <c r="R37">
        <v>4.5999999999999999E-2</v>
      </c>
      <c r="S37">
        <v>4.4999999999999998E-2</v>
      </c>
      <c r="T37">
        <v>4.5300000000000002E-3</v>
      </c>
      <c r="U37">
        <v>6.5599999999999999E-3</v>
      </c>
      <c r="V37">
        <v>2.7E-2</v>
      </c>
      <c r="W37">
        <v>4.1000000000000002E-2</v>
      </c>
      <c r="X37">
        <v>1.2E-2</v>
      </c>
      <c r="Y37">
        <v>5.3099999999999996E-3</v>
      </c>
      <c r="Z37">
        <v>6.07</v>
      </c>
      <c r="AA37">
        <v>36.6</v>
      </c>
      <c r="AB37">
        <v>5.25</v>
      </c>
      <c r="AC37">
        <v>1.5</v>
      </c>
      <c r="AD37">
        <v>2.52</v>
      </c>
      <c r="AE37">
        <v>4.47</v>
      </c>
      <c r="AF37">
        <v>0.45</v>
      </c>
      <c r="AG37">
        <v>0.66</v>
      </c>
      <c r="AH37">
        <v>2.68</v>
      </c>
      <c r="AI37">
        <v>4.08</v>
      </c>
      <c r="AJ37">
        <v>1.19</v>
      </c>
      <c r="AK37">
        <v>0.53</v>
      </c>
      <c r="AL37">
        <v>66709.618733449694</v>
      </c>
      <c r="AM37">
        <v>402365.63715621608</v>
      </c>
      <c r="AN37">
        <v>57657.941842108004</v>
      </c>
      <c r="AO37">
        <v>16739.40247028942</v>
      </c>
      <c r="AP37">
        <v>27775.00854329504</v>
      </c>
      <c r="AQ37">
        <v>13838.617682330161</v>
      </c>
      <c r="AR37">
        <v>1602.3662579540187</v>
      </c>
      <c r="AS37">
        <v>2039.3752373960237</v>
      </c>
      <c r="AT37">
        <v>8303.1706093980956</v>
      </c>
      <c r="AU37">
        <v>12624.703850546814</v>
      </c>
      <c r="AV37">
        <v>3690.298048621376</v>
      </c>
      <c r="AW37">
        <v>1650.9228112253525</v>
      </c>
      <c r="AX37" t="s">
        <v>67</v>
      </c>
      <c r="AY37" t="s">
        <v>67</v>
      </c>
      <c r="AZ37" t="s">
        <v>67</v>
      </c>
      <c r="BA37">
        <v>28.779692367601243</v>
      </c>
      <c r="BB37">
        <v>23.486176012461058</v>
      </c>
      <c r="BC37" t="s">
        <v>67</v>
      </c>
      <c r="BD37">
        <v>26.954341900311523</v>
      </c>
      <c r="BE37">
        <v>25.250681464174452</v>
      </c>
      <c r="BF37">
        <v>23.364485981308427</v>
      </c>
      <c r="BG37">
        <v>24.094626168224298</v>
      </c>
      <c r="BH37">
        <f>BB37-BA37</f>
        <v>-5.2935163551401843</v>
      </c>
    </row>
    <row r="38" spans="1:60" x14ac:dyDescent="0.2">
      <c r="A38">
        <v>5</v>
      </c>
      <c r="B38" t="s">
        <v>59</v>
      </c>
      <c r="C38" t="s">
        <v>18</v>
      </c>
      <c r="D38" s="2">
        <v>21</v>
      </c>
      <c r="E38" t="s">
        <v>15</v>
      </c>
      <c r="F38" t="s">
        <v>11</v>
      </c>
      <c r="G38" t="s">
        <v>16</v>
      </c>
      <c r="H38" t="s">
        <v>13</v>
      </c>
      <c r="I38">
        <v>-2071</v>
      </c>
      <c r="J38">
        <v>28</v>
      </c>
      <c r="K38" s="3">
        <v>3.2499999999999999E-3</v>
      </c>
      <c r="L38">
        <v>0.36</v>
      </c>
      <c r="M38" s="10">
        <v>1.0999999999999999</v>
      </c>
      <c r="N38">
        <v>9.0999999999999998E-2</v>
      </c>
      <c r="O38">
        <v>0.59</v>
      </c>
      <c r="P38">
        <v>0.13</v>
      </c>
      <c r="Q38">
        <v>1.9E-2</v>
      </c>
      <c r="R38">
        <v>2.9000000000000001E-2</v>
      </c>
      <c r="S38">
        <v>6.4000000000000001E-2</v>
      </c>
      <c r="T38">
        <v>6.7200000000000003E-3</v>
      </c>
      <c r="U38">
        <v>8.8100000000000001E-3</v>
      </c>
      <c r="V38">
        <v>2.3E-2</v>
      </c>
      <c r="W38">
        <v>3.7999999999999999E-2</v>
      </c>
      <c r="X38">
        <v>7.6499999999999997E-3</v>
      </c>
      <c r="Y38">
        <v>2.7799999999999999E-3</v>
      </c>
      <c r="Z38">
        <v>5.2</v>
      </c>
      <c r="AA38">
        <v>33.799999999999997</v>
      </c>
      <c r="AB38">
        <v>7.23</v>
      </c>
      <c r="AC38">
        <v>1.1200000000000001</v>
      </c>
      <c r="AD38">
        <v>1.66</v>
      </c>
      <c r="AE38">
        <v>7.15</v>
      </c>
      <c r="AF38">
        <v>0.75</v>
      </c>
      <c r="AG38">
        <v>0.99</v>
      </c>
      <c r="AH38">
        <v>2.61</v>
      </c>
      <c r="AI38">
        <v>4.29</v>
      </c>
      <c r="AJ38">
        <v>0.86</v>
      </c>
      <c r="AK38">
        <v>0.31</v>
      </c>
      <c r="AL38">
        <v>70988.757926367209</v>
      </c>
      <c r="AM38">
        <v>458736.96434487938</v>
      </c>
      <c r="AN38">
        <v>98150.815025735064</v>
      </c>
      <c r="AO38">
        <v>15090.031721871032</v>
      </c>
      <c r="AP38">
        <v>22438.221082086493</v>
      </c>
      <c r="AQ38">
        <v>21977.508218089606</v>
      </c>
      <c r="AR38">
        <v>2597.3418803196805</v>
      </c>
      <c r="AS38">
        <v>3036.8920446814727</v>
      </c>
      <c r="AT38">
        <v>8031.780276065474</v>
      </c>
      <c r="AU38">
        <v>13186.504930853764</v>
      </c>
      <c r="AV38">
        <v>2637.3009861707528</v>
      </c>
      <c r="AW38">
        <v>959.01854042572825</v>
      </c>
      <c r="AX38" t="s">
        <v>67</v>
      </c>
      <c r="AY38" t="s">
        <v>67</v>
      </c>
      <c r="AZ38" t="s">
        <v>67</v>
      </c>
      <c r="BA38">
        <v>25.068146417445465</v>
      </c>
      <c r="BB38">
        <v>27.684482087227412</v>
      </c>
      <c r="BC38" t="s">
        <v>67</v>
      </c>
      <c r="BD38">
        <v>19.896320093457945</v>
      </c>
      <c r="BE38">
        <v>25.615751557632397</v>
      </c>
      <c r="BF38">
        <v>27.076031931464172</v>
      </c>
      <c r="BG38">
        <v>31.882788161993762</v>
      </c>
      <c r="BH38">
        <f t="shared" ref="BH38:BH44" si="3">BB38-BA38</f>
        <v>2.6163356697819466</v>
      </c>
    </row>
    <row r="39" spans="1:60" x14ac:dyDescent="0.2">
      <c r="A39">
        <v>5</v>
      </c>
      <c r="B39" t="s">
        <v>60</v>
      </c>
      <c r="C39" t="s">
        <v>18</v>
      </c>
      <c r="D39" s="2">
        <v>21</v>
      </c>
      <c r="E39" t="s">
        <v>36</v>
      </c>
      <c r="F39" t="s">
        <v>20</v>
      </c>
      <c r="G39" t="s">
        <v>16</v>
      </c>
      <c r="H39" t="s">
        <v>13</v>
      </c>
      <c r="I39">
        <v>-2054</v>
      </c>
      <c r="J39">
        <v>8</v>
      </c>
      <c r="K39" s="3">
        <v>1.2099999999999999E-3</v>
      </c>
      <c r="L39">
        <v>0.22</v>
      </c>
      <c r="M39" s="10">
        <v>1.2470588235294118</v>
      </c>
      <c r="N39">
        <v>0.13</v>
      </c>
      <c r="O39">
        <v>0.53</v>
      </c>
      <c r="P39">
        <v>0.1</v>
      </c>
      <c r="Q39">
        <v>4.9000000000000002E-2</v>
      </c>
      <c r="R39">
        <v>5.0999999999999997E-2</v>
      </c>
      <c r="S39">
        <v>2.5000000000000001E-2</v>
      </c>
      <c r="T39">
        <v>2.5799999999999998E-3</v>
      </c>
      <c r="U39">
        <v>2.5799999999999998E-3</v>
      </c>
      <c r="V39">
        <v>1.0999999999999999E-2</v>
      </c>
      <c r="W39">
        <v>1.6E-2</v>
      </c>
      <c r="X39">
        <v>5.5999999999999999E-3</v>
      </c>
      <c r="Y39">
        <v>3.1800000000000001E-3</v>
      </c>
      <c r="Z39">
        <v>7.93</v>
      </c>
      <c r="AA39">
        <v>32.200000000000003</v>
      </c>
      <c r="AB39">
        <v>6.32</v>
      </c>
      <c r="AC39">
        <v>2.98</v>
      </c>
      <c r="AD39">
        <v>3.1</v>
      </c>
      <c r="AE39">
        <v>4.57</v>
      </c>
      <c r="AF39">
        <v>0.47</v>
      </c>
      <c r="AG39">
        <v>0.47</v>
      </c>
      <c r="AH39">
        <v>2</v>
      </c>
      <c r="AI39">
        <v>2.93</v>
      </c>
      <c r="AJ39">
        <v>1.01</v>
      </c>
      <c r="AK39">
        <v>0.57999999999999996</v>
      </c>
      <c r="AL39">
        <v>86165.837869949741</v>
      </c>
      <c r="AM39">
        <v>350296.77921572438</v>
      </c>
      <c r="AN39">
        <v>68753.424867998532</v>
      </c>
      <c r="AO39">
        <v>32520.24193011476</v>
      </c>
      <c r="AP39">
        <v>33672.533967008589</v>
      </c>
      <c r="AQ39">
        <v>7275.5598695801409</v>
      </c>
      <c r="AR39">
        <v>914.8907620430117</v>
      </c>
      <c r="AS39">
        <v>740.6258549872</v>
      </c>
      <c r="AT39">
        <v>3180.3345537685645</v>
      </c>
      <c r="AU39">
        <v>4661.5862637429645</v>
      </c>
      <c r="AV39">
        <v>1611.9503902662589</v>
      </c>
      <c r="AW39">
        <v>914.8907620430117</v>
      </c>
      <c r="AX39" t="s">
        <v>67</v>
      </c>
      <c r="AY39" t="s">
        <v>67</v>
      </c>
      <c r="AZ39" t="s">
        <v>67</v>
      </c>
      <c r="BA39">
        <v>28.840537383177576</v>
      </c>
      <c r="BB39">
        <v>29.327297507788163</v>
      </c>
      <c r="BC39" t="s">
        <v>67</v>
      </c>
      <c r="BD39">
        <v>26.28504672897196</v>
      </c>
      <c r="BE39">
        <v>28.414622274143298</v>
      </c>
      <c r="BF39">
        <v>21.052375389408095</v>
      </c>
      <c r="BG39">
        <v>25.49406152647974</v>
      </c>
      <c r="BH39">
        <f t="shared" si="3"/>
        <v>0.48676012461058704</v>
      </c>
    </row>
    <row r="40" spans="1:60" x14ac:dyDescent="0.2">
      <c r="A40">
        <v>5</v>
      </c>
      <c r="B40" t="s">
        <v>61</v>
      </c>
      <c r="C40" t="s">
        <v>9</v>
      </c>
      <c r="D40" s="2">
        <v>21</v>
      </c>
      <c r="E40" t="s">
        <v>19</v>
      </c>
      <c r="F40" t="s">
        <v>20</v>
      </c>
      <c r="G40" t="s">
        <v>12</v>
      </c>
      <c r="H40" t="s">
        <v>23</v>
      </c>
      <c r="I40">
        <v>-1280</v>
      </c>
      <c r="J40">
        <v>10</v>
      </c>
      <c r="K40" s="3">
        <v>1.4400000000000001E-3</v>
      </c>
      <c r="L40">
        <v>0.3</v>
      </c>
      <c r="M40" s="10">
        <v>1.1099137931034484</v>
      </c>
      <c r="N40">
        <v>3.5999999999999997E-2</v>
      </c>
      <c r="O40">
        <v>0.33</v>
      </c>
      <c r="P40">
        <v>8.7999999999999995E-2</v>
      </c>
      <c r="Q40">
        <v>1.0999999999999999E-2</v>
      </c>
      <c r="R40">
        <v>1.6E-2</v>
      </c>
      <c r="S40">
        <v>2.5999999999999999E-2</v>
      </c>
      <c r="T40">
        <v>3.0200000000000001E-3</v>
      </c>
      <c r="U40">
        <v>4.3200000000000001E-3</v>
      </c>
      <c r="V40">
        <v>1.2999999999999999E-2</v>
      </c>
      <c r="W40">
        <v>1.2E-2</v>
      </c>
      <c r="X40">
        <v>7.77E-3</v>
      </c>
      <c r="Y40">
        <v>2.0100000000000001E-3</v>
      </c>
      <c r="Z40">
        <v>4</v>
      </c>
      <c r="AA40">
        <v>36.9</v>
      </c>
      <c r="AB40">
        <v>9.73</v>
      </c>
      <c r="AC40">
        <v>1.24</v>
      </c>
      <c r="AD40">
        <v>1.81</v>
      </c>
      <c r="AE40">
        <v>5.6</v>
      </c>
      <c r="AF40">
        <v>0.64</v>
      </c>
      <c r="AG40">
        <v>0.91</v>
      </c>
      <c r="AH40">
        <v>2.68</v>
      </c>
      <c r="AI40">
        <v>2.56</v>
      </c>
      <c r="AJ40">
        <v>1.64</v>
      </c>
      <c r="AK40">
        <v>0.43</v>
      </c>
      <c r="AL40">
        <v>23456.985155079397</v>
      </c>
      <c r="AM40">
        <v>217575.50516293032</v>
      </c>
      <c r="AN40">
        <v>57325.999435117505</v>
      </c>
      <c r="AO40">
        <v>7300.3882370400161</v>
      </c>
      <c r="AP40">
        <v>10651.386116337073</v>
      </c>
      <c r="AQ40">
        <v>11707.387218173682</v>
      </c>
      <c r="AR40">
        <v>1336.169193378518</v>
      </c>
      <c r="AS40">
        <v>1908.8131333978829</v>
      </c>
      <c r="AT40">
        <v>5599.1851913004566</v>
      </c>
      <c r="AU40">
        <v>5344.676773514072</v>
      </c>
      <c r="AV40">
        <v>3435.8636401161893</v>
      </c>
      <c r="AW40">
        <v>890.77946225234541</v>
      </c>
      <c r="AX40" t="s">
        <v>67</v>
      </c>
      <c r="AY40" t="s">
        <v>67</v>
      </c>
      <c r="AZ40" t="s">
        <v>67</v>
      </c>
      <c r="BA40">
        <v>21.904205607476648</v>
      </c>
      <c r="BB40">
        <v>33.160533489096572</v>
      </c>
      <c r="BC40" t="s">
        <v>67</v>
      </c>
      <c r="BD40">
        <v>31.396028037383168</v>
      </c>
      <c r="BE40">
        <v>28.536312305295947</v>
      </c>
      <c r="BF40">
        <v>14.298578660436135</v>
      </c>
      <c r="BG40">
        <v>24.520541277258562</v>
      </c>
      <c r="BH40">
        <f t="shared" si="3"/>
        <v>11.256327881619924</v>
      </c>
    </row>
    <row r="41" spans="1:60" x14ac:dyDescent="0.2">
      <c r="A41">
        <v>5</v>
      </c>
      <c r="B41" t="s">
        <v>62</v>
      </c>
      <c r="C41" t="s">
        <v>9</v>
      </c>
      <c r="D41" s="2">
        <v>21</v>
      </c>
      <c r="E41" t="s">
        <v>15</v>
      </c>
      <c r="F41" t="s">
        <v>11</v>
      </c>
      <c r="G41" t="s">
        <v>16</v>
      </c>
      <c r="H41" t="s">
        <v>23</v>
      </c>
      <c r="I41">
        <v>4498</v>
      </c>
      <c r="J41">
        <v>133</v>
      </c>
      <c r="K41">
        <v>0.24</v>
      </c>
      <c r="L41">
        <v>4</v>
      </c>
      <c r="M41" s="10">
        <v>2.8598253275109173</v>
      </c>
      <c r="N41">
        <v>0.36</v>
      </c>
      <c r="O41">
        <v>0.75</v>
      </c>
      <c r="P41">
        <v>0.39</v>
      </c>
      <c r="Q41">
        <v>0.2</v>
      </c>
      <c r="R41">
        <v>0.23</v>
      </c>
      <c r="S41">
        <v>0.72</v>
      </c>
      <c r="T41">
        <v>7.8E-2</v>
      </c>
      <c r="U41">
        <v>0.31</v>
      </c>
      <c r="V41">
        <v>0.51</v>
      </c>
      <c r="W41">
        <v>0.2</v>
      </c>
      <c r="X41">
        <v>6.5000000000000002E-2</v>
      </c>
      <c r="Y41">
        <v>3.5000000000000003E-2</v>
      </c>
      <c r="Z41">
        <v>4.9400000000000004</v>
      </c>
      <c r="AA41">
        <v>10.199999999999999</v>
      </c>
      <c r="AB41">
        <v>5.31</v>
      </c>
      <c r="AC41">
        <v>2.65</v>
      </c>
      <c r="AD41">
        <v>3.13</v>
      </c>
      <c r="AE41">
        <v>12.3</v>
      </c>
      <c r="AF41">
        <v>1.32</v>
      </c>
      <c r="AG41">
        <v>5.24</v>
      </c>
      <c r="AH41">
        <v>8.67</v>
      </c>
      <c r="AI41">
        <v>3.4</v>
      </c>
      <c r="AJ41">
        <v>1.1100000000000001</v>
      </c>
      <c r="AK41">
        <v>0.6</v>
      </c>
      <c r="AL41">
        <v>8207.1618977584603</v>
      </c>
      <c r="AM41">
        <v>16961.467922034153</v>
      </c>
      <c r="AN41">
        <v>8836.3776432532759</v>
      </c>
      <c r="AO41">
        <v>4377.1530121378455</v>
      </c>
      <c r="AP41">
        <v>5143.1547892619692</v>
      </c>
      <c r="AQ41">
        <v>6837.9789375201835</v>
      </c>
      <c r="AR41">
        <v>752.34487087630373</v>
      </c>
      <c r="AS41">
        <v>2909.0668340550415</v>
      </c>
      <c r="AT41">
        <v>4815.0071736083446</v>
      </c>
      <c r="AU41">
        <v>1889.2215646449406</v>
      </c>
      <c r="AV41">
        <v>618.59467160940528</v>
      </c>
      <c r="AW41">
        <v>334.37549816724612</v>
      </c>
      <c r="AX41" t="s">
        <v>67</v>
      </c>
      <c r="AY41" t="s">
        <v>67</v>
      </c>
      <c r="AZ41" t="s">
        <v>67</v>
      </c>
      <c r="BA41">
        <v>30.300817757009352</v>
      </c>
      <c r="BB41">
        <v>76.482184579439263</v>
      </c>
      <c r="BC41" t="s">
        <v>67</v>
      </c>
      <c r="BD41">
        <v>67.355432242990659</v>
      </c>
      <c r="BE41">
        <v>48.676012461059187</v>
      </c>
      <c r="BF41">
        <v>46.728971962616832</v>
      </c>
      <c r="BG41">
        <v>53.969528816199372</v>
      </c>
      <c r="BH41">
        <f t="shared" si="3"/>
        <v>46.181366822429908</v>
      </c>
    </row>
    <row r="42" spans="1:60" x14ac:dyDescent="0.2">
      <c r="A42">
        <v>5</v>
      </c>
      <c r="B42" t="s">
        <v>63</v>
      </c>
      <c r="C42" t="s">
        <v>9</v>
      </c>
      <c r="D42" s="2">
        <v>21</v>
      </c>
      <c r="E42" t="s">
        <v>25</v>
      </c>
      <c r="F42" t="s">
        <v>11</v>
      </c>
      <c r="G42" t="s">
        <v>26</v>
      </c>
      <c r="H42" t="s">
        <v>23</v>
      </c>
      <c r="I42">
        <v>-733</v>
      </c>
      <c r="J42">
        <v>44</v>
      </c>
      <c r="K42" s="3">
        <v>5.5999999999999999E-3</v>
      </c>
      <c r="L42">
        <v>0.81</v>
      </c>
      <c r="M42" s="10">
        <v>1.1243902439024389</v>
      </c>
      <c r="N42">
        <v>5.8999999999999997E-2</v>
      </c>
      <c r="O42">
        <v>0.47</v>
      </c>
      <c r="P42">
        <v>7.9000000000000001E-2</v>
      </c>
      <c r="Q42">
        <v>1.6E-2</v>
      </c>
      <c r="R42">
        <v>3.5000000000000003E-2</v>
      </c>
      <c r="S42">
        <v>4.2000000000000003E-2</v>
      </c>
      <c r="T42">
        <v>4.0699999999999998E-3</v>
      </c>
      <c r="U42">
        <v>8.7799999999999996E-3</v>
      </c>
      <c r="V42">
        <v>2.9299999999999999E-3</v>
      </c>
      <c r="W42">
        <v>3.3000000000000002E-2</v>
      </c>
      <c r="X42">
        <v>8.6499999999999997E-3</v>
      </c>
      <c r="Y42">
        <v>3.5599999999999998E-3</v>
      </c>
      <c r="Z42">
        <v>4.3899999999999997</v>
      </c>
      <c r="AA42">
        <v>34.700000000000003</v>
      </c>
      <c r="AB42">
        <v>5.87</v>
      </c>
      <c r="AC42">
        <v>1.19</v>
      </c>
      <c r="AD42">
        <v>2.6</v>
      </c>
      <c r="AE42">
        <v>6.04</v>
      </c>
      <c r="AF42">
        <v>0.59</v>
      </c>
      <c r="AG42">
        <v>1.27</v>
      </c>
      <c r="AH42">
        <v>0.42</v>
      </c>
      <c r="AI42">
        <v>4.72</v>
      </c>
      <c r="AJ42">
        <v>1.25</v>
      </c>
      <c r="AK42">
        <v>0.52</v>
      </c>
      <c r="AL42">
        <v>24349.243910885372</v>
      </c>
      <c r="AM42">
        <v>193080.48597483549</v>
      </c>
      <c r="AN42">
        <v>32826.388087267689</v>
      </c>
      <c r="AO42">
        <v>6583.3140944245633</v>
      </c>
      <c r="AP42">
        <v>14609.546346531222</v>
      </c>
      <c r="AQ42">
        <v>20588.530681932309</v>
      </c>
      <c r="AR42">
        <v>2134.1769609320077</v>
      </c>
      <c r="AS42">
        <v>4331.1238324796623</v>
      </c>
      <c r="AT42">
        <v>1443.7079441598876</v>
      </c>
      <c r="AU42">
        <v>16069.097117605705</v>
      </c>
      <c r="AV42">
        <v>4268.3539218640153</v>
      </c>
      <c r="AW42">
        <v>1757.5574972381239</v>
      </c>
      <c r="AX42" t="s">
        <v>67</v>
      </c>
      <c r="AY42" t="s">
        <v>67</v>
      </c>
      <c r="AZ42" t="s">
        <v>67</v>
      </c>
      <c r="BA42">
        <v>35.229264018691595</v>
      </c>
      <c r="BB42">
        <v>20.504770249221188</v>
      </c>
      <c r="BC42" t="s">
        <v>67</v>
      </c>
      <c r="BD42">
        <v>26.041666666666654</v>
      </c>
      <c r="BE42">
        <v>24.946456386292837</v>
      </c>
      <c r="BF42">
        <v>20.018010124610594</v>
      </c>
      <c r="BG42">
        <v>18.92279984423676</v>
      </c>
      <c r="BH42">
        <f t="shared" si="3"/>
        <v>-14.724493769470406</v>
      </c>
    </row>
    <row r="43" spans="1:60" x14ac:dyDescent="0.2">
      <c r="A43">
        <v>5</v>
      </c>
      <c r="B43" t="s">
        <v>64</v>
      </c>
      <c r="C43" t="s">
        <v>18</v>
      </c>
      <c r="D43" s="2">
        <v>21</v>
      </c>
      <c r="E43" t="s">
        <v>36</v>
      </c>
      <c r="F43" t="s">
        <v>20</v>
      </c>
      <c r="G43" t="s">
        <v>16</v>
      </c>
      <c r="H43" t="s">
        <v>23</v>
      </c>
      <c r="I43">
        <v>-2197</v>
      </c>
      <c r="J43" t="s">
        <v>67</v>
      </c>
      <c r="K43" t="s">
        <v>67</v>
      </c>
      <c r="L43" t="s">
        <v>67</v>
      </c>
      <c r="M43" s="10">
        <v>1.1049668874172187</v>
      </c>
      <c r="N43">
        <v>0.05</v>
      </c>
      <c r="O43">
        <v>0.35</v>
      </c>
      <c r="P43">
        <v>8.4000000000000005E-2</v>
      </c>
      <c r="Q43">
        <v>1.0999999999999999E-2</v>
      </c>
      <c r="R43">
        <v>2.5999999999999999E-2</v>
      </c>
      <c r="S43">
        <v>4.9000000000000002E-2</v>
      </c>
      <c r="T43">
        <v>2.1199999999999999E-3</v>
      </c>
      <c r="U43">
        <v>6.8399999999999997E-3</v>
      </c>
      <c r="V43">
        <v>4.5999999999999999E-3</v>
      </c>
      <c r="W43">
        <v>2.5999999999999999E-2</v>
      </c>
      <c r="X43">
        <v>8.1399999999999997E-3</v>
      </c>
      <c r="Y43">
        <v>2.7100000000000002E-3</v>
      </c>
      <c r="Z43">
        <v>4</v>
      </c>
      <c r="AA43">
        <v>28.2</v>
      </c>
      <c r="AB43">
        <v>6.72</v>
      </c>
      <c r="AC43">
        <v>0.89</v>
      </c>
      <c r="AD43">
        <v>2.06</v>
      </c>
      <c r="AE43">
        <v>7.99</v>
      </c>
      <c r="AF43">
        <v>0.35</v>
      </c>
      <c r="AG43">
        <v>1.1100000000000001</v>
      </c>
      <c r="AH43">
        <v>0.75</v>
      </c>
      <c r="AI43">
        <v>4.2300000000000004</v>
      </c>
      <c r="AJ43">
        <v>1.33</v>
      </c>
      <c r="AK43">
        <v>0.44</v>
      </c>
      <c r="AL43">
        <v>21564.647989609795</v>
      </c>
      <c r="AM43">
        <v>152930.08006605375</v>
      </c>
      <c r="AN43">
        <v>36819.988488809737</v>
      </c>
      <c r="AO43">
        <v>4896.7759627061541</v>
      </c>
      <c r="AP43">
        <v>11111.914684602427</v>
      </c>
      <c r="AQ43">
        <v>21943.697272981306</v>
      </c>
      <c r="AR43">
        <v>896.7376289439477</v>
      </c>
      <c r="AS43">
        <v>3059.4577928675862</v>
      </c>
      <c r="AT43">
        <v>2057.2216193419977</v>
      </c>
      <c r="AU43">
        <v>11604.839903980499</v>
      </c>
      <c r="AV43">
        <v>3639.6997880666108</v>
      </c>
      <c r="AW43">
        <v>1213.2332626888704</v>
      </c>
      <c r="AX43" t="s">
        <v>67</v>
      </c>
      <c r="AY43" t="s">
        <v>67</v>
      </c>
      <c r="AZ43" t="s">
        <v>67</v>
      </c>
      <c r="BA43">
        <v>26.102511682242984</v>
      </c>
      <c r="BB43">
        <v>47.459112149532722</v>
      </c>
      <c r="BC43" t="s">
        <v>67</v>
      </c>
      <c r="BD43">
        <v>38.758274922118368</v>
      </c>
      <c r="BE43">
        <v>33.525603582554517</v>
      </c>
      <c r="BF43">
        <v>25.49406152647974</v>
      </c>
      <c r="BG43">
        <v>35.828523435964343</v>
      </c>
      <c r="BH43">
        <f t="shared" si="3"/>
        <v>21.356600467289738</v>
      </c>
    </row>
    <row r="44" spans="1:60" x14ac:dyDescent="0.2">
      <c r="A44">
        <v>5</v>
      </c>
      <c r="B44" t="s">
        <v>65</v>
      </c>
      <c r="C44" t="s">
        <v>18</v>
      </c>
      <c r="D44" s="2">
        <v>21</v>
      </c>
      <c r="E44" t="s">
        <v>15</v>
      </c>
      <c r="F44" t="s">
        <v>11</v>
      </c>
      <c r="G44" t="s">
        <v>16</v>
      </c>
      <c r="H44" t="s">
        <v>23</v>
      </c>
      <c r="I44">
        <v>-1587</v>
      </c>
      <c r="J44">
        <v>30</v>
      </c>
      <c r="K44" s="3">
        <v>3.5599999999999998E-3</v>
      </c>
      <c r="L44">
        <v>0.73</v>
      </c>
      <c r="M44" s="10">
        <v>1.3174846625766872</v>
      </c>
      <c r="N44">
        <v>3.1E-2</v>
      </c>
      <c r="O44">
        <v>0.21</v>
      </c>
      <c r="P44">
        <v>5.6000000000000001E-2</v>
      </c>
      <c r="Q44">
        <v>1.2999999999999999E-2</v>
      </c>
      <c r="R44">
        <v>2.1999999999999999E-2</v>
      </c>
      <c r="S44">
        <v>3.7999999999999999E-2</v>
      </c>
      <c r="T44">
        <v>2.7299999999999998E-3</v>
      </c>
      <c r="U44">
        <v>4.9800000000000001E-3</v>
      </c>
      <c r="V44">
        <v>0.01</v>
      </c>
      <c r="W44">
        <v>0.03</v>
      </c>
      <c r="X44">
        <v>8.5400000000000007E-3</v>
      </c>
      <c r="Y44">
        <v>3.5599999999999998E-3</v>
      </c>
      <c r="Z44">
        <v>3.97</v>
      </c>
      <c r="AA44">
        <v>27.1</v>
      </c>
      <c r="AB44">
        <v>7.19</v>
      </c>
      <c r="AC44">
        <v>1.73</v>
      </c>
      <c r="AD44">
        <v>2.83</v>
      </c>
      <c r="AE44">
        <v>7.67</v>
      </c>
      <c r="AF44">
        <v>0.56000000000000005</v>
      </c>
      <c r="AG44">
        <v>1.02</v>
      </c>
      <c r="AH44">
        <v>2.13</v>
      </c>
      <c r="AI44">
        <v>6.03</v>
      </c>
      <c r="AJ44">
        <v>1.74</v>
      </c>
      <c r="AK44">
        <v>0.73</v>
      </c>
      <c r="AL44">
        <v>12718.908675558047</v>
      </c>
      <c r="AM44">
        <v>87024.111990660313</v>
      </c>
      <c r="AN44">
        <v>23142.675935977797</v>
      </c>
      <c r="AO44">
        <v>5546.5917532508774</v>
      </c>
      <c r="AP44">
        <v>9084.9347682557473</v>
      </c>
      <c r="AQ44">
        <v>18101.402687401627</v>
      </c>
      <c r="AR44">
        <v>1370.4532003080096</v>
      </c>
      <c r="AS44">
        <v>2398.2931005390169</v>
      </c>
      <c r="AT44">
        <v>5024.9950677960351</v>
      </c>
      <c r="AU44">
        <v>14218.451953195599</v>
      </c>
      <c r="AV44">
        <v>4111.3596009240291</v>
      </c>
      <c r="AW44">
        <v>1713.066500385012</v>
      </c>
      <c r="AX44" t="s">
        <v>67</v>
      </c>
      <c r="AY44" t="s">
        <v>67</v>
      </c>
      <c r="AZ44" t="s">
        <v>67</v>
      </c>
      <c r="BA44">
        <v>22.877725856697829</v>
      </c>
      <c r="BB44">
        <v>35.716024143302178</v>
      </c>
      <c r="BC44" t="s">
        <v>67</v>
      </c>
      <c r="BD44">
        <v>29.692367601246097</v>
      </c>
      <c r="BE44">
        <v>25.554906542056063</v>
      </c>
      <c r="BF44">
        <v>16.245619158878505</v>
      </c>
      <c r="BG44">
        <v>35.38178374224907</v>
      </c>
      <c r="BH44">
        <f t="shared" si="3"/>
        <v>12.838298286604349</v>
      </c>
    </row>
    <row r="54" spans="8:12" x14ac:dyDescent="0.2">
      <c r="I54" s="3"/>
    </row>
    <row r="55" spans="8:12" x14ac:dyDescent="0.2">
      <c r="H55" s="3"/>
      <c r="I55" s="3"/>
    </row>
    <row r="56" spans="8:12" x14ac:dyDescent="0.2">
      <c r="H56" s="3"/>
      <c r="I56" s="3"/>
    </row>
    <row r="57" spans="8:12" x14ac:dyDescent="0.2">
      <c r="H57" s="3"/>
    </row>
    <row r="58" spans="8:12" x14ac:dyDescent="0.2">
      <c r="H58" s="3"/>
    </row>
    <row r="59" spans="8:12" x14ac:dyDescent="0.2">
      <c r="H59" s="3"/>
      <c r="I59" s="3"/>
      <c r="L59" s="3"/>
    </row>
    <row r="60" spans="8:12" x14ac:dyDescent="0.2">
      <c r="I60" s="3"/>
      <c r="L60" s="3"/>
    </row>
    <row r="61" spans="8:12" x14ac:dyDescent="0.2">
      <c r="H61" s="3"/>
      <c r="I61" s="3"/>
      <c r="L61" s="3"/>
    </row>
    <row r="62" spans="8:12" x14ac:dyDescent="0.2">
      <c r="H62" s="3"/>
      <c r="I62" s="3"/>
    </row>
    <row r="63" spans="8:12" x14ac:dyDescent="0.2">
      <c r="H63" s="3"/>
      <c r="I63" s="3"/>
      <c r="L63" s="3"/>
    </row>
    <row r="64" spans="8:12" x14ac:dyDescent="0.2">
      <c r="H64" s="3"/>
      <c r="I64" s="3"/>
      <c r="L64" s="3"/>
    </row>
    <row r="65" spans="8:12" x14ac:dyDescent="0.2">
      <c r="H65" s="3"/>
      <c r="L65" s="3"/>
    </row>
    <row r="66" spans="8:12" x14ac:dyDescent="0.2">
      <c r="H66" s="3"/>
      <c r="I66" s="3"/>
      <c r="L66" s="3"/>
    </row>
    <row r="67" spans="8:12" x14ac:dyDescent="0.2">
      <c r="I67" s="3"/>
      <c r="L67" s="3"/>
    </row>
    <row r="68" spans="8:12" x14ac:dyDescent="0.2">
      <c r="H68" s="3"/>
      <c r="I68" s="3"/>
      <c r="L68" s="3"/>
    </row>
    <row r="69" spans="8:12" x14ac:dyDescent="0.2">
      <c r="I69" s="3"/>
      <c r="L69" s="3"/>
    </row>
    <row r="70" spans="8:12" x14ac:dyDescent="0.2">
      <c r="I70" s="3"/>
    </row>
    <row r="71" spans="8:12" x14ac:dyDescent="0.2">
      <c r="I71" s="3"/>
      <c r="L71" s="3"/>
    </row>
    <row r="72" spans="8:12" x14ac:dyDescent="0.2">
      <c r="I72" s="3"/>
    </row>
    <row r="73" spans="8:12" x14ac:dyDescent="0.2">
      <c r="I73" s="3"/>
      <c r="L73" s="3"/>
    </row>
    <row r="74" spans="8:12" x14ac:dyDescent="0.2">
      <c r="I74" s="3"/>
    </row>
    <row r="75" spans="8:12" x14ac:dyDescent="0.2">
      <c r="I75" s="3"/>
    </row>
    <row r="80" spans="8:12" x14ac:dyDescent="0.2">
      <c r="I8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Yashchenko, Morgan E (HSC)</dc:creator>
  <cp:lastModifiedBy>Yashchenko, Morgan E (HSC)</cp:lastModifiedBy>
  <dcterms:created xsi:type="dcterms:W3CDTF">2026-07-30T17:02:19Z</dcterms:created>
  <dcterms:modified xsi:type="dcterms:W3CDTF">2026-07-30T23:13:10Z</dcterms:modified>
</cp:coreProperties>
</file>